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ent Rider\Desktop\Master\Data processing methods (Bayesian filters)\"/>
    </mc:Choice>
  </mc:AlternateContent>
  <xr:revisionPtr revIDLastSave="0" documentId="13_ncr:1_{1F678EA5-5FF1-487C-B14B-98DAE0776DA7}" xr6:coauthVersionLast="47" xr6:coauthVersionMax="47" xr10:uidLastSave="{00000000-0000-0000-0000-000000000000}"/>
  <bookViews>
    <workbookView xWindow="-108" yWindow="-108" windowWidth="23256" windowHeight="14016" tabRatio="243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AA16" i="1" s="1"/>
  <c r="S32" i="1"/>
  <c r="AA32" i="1" s="1"/>
  <c r="R9" i="1"/>
  <c r="R19" i="1"/>
  <c r="Z19" i="1" s="1"/>
  <c r="R25" i="1"/>
  <c r="Z25" i="1" s="1"/>
  <c r="R35" i="1"/>
  <c r="Z35" i="1" s="1"/>
  <c r="R41" i="1"/>
  <c r="Z41" i="1" s="1"/>
  <c r="Q11" i="1"/>
  <c r="Y11" i="1" s="1"/>
  <c r="Q12" i="1"/>
  <c r="Y12" i="1" s="1"/>
  <c r="Q27" i="1"/>
  <c r="Y27" i="1" s="1"/>
  <c r="Q28" i="1"/>
  <c r="Y28" i="1" s="1"/>
  <c r="Z9" i="1"/>
  <c r="P5" i="1"/>
  <c r="X5" i="1" s="1"/>
  <c r="P6" i="1"/>
  <c r="X6" i="1" s="1"/>
  <c r="P7" i="1"/>
  <c r="X7" i="1" s="1"/>
  <c r="P11" i="1"/>
  <c r="X11" i="1" s="1"/>
  <c r="P12" i="1"/>
  <c r="X12" i="1" s="1"/>
  <c r="P21" i="1"/>
  <c r="X21" i="1" s="1"/>
  <c r="P22" i="1"/>
  <c r="X22" i="1" s="1"/>
  <c r="P23" i="1"/>
  <c r="X23" i="1" s="1"/>
  <c r="P27" i="1"/>
  <c r="X27" i="1" s="1"/>
  <c r="P28" i="1"/>
  <c r="X28" i="1" s="1"/>
  <c r="P37" i="1"/>
  <c r="X37" i="1" s="1"/>
  <c r="P38" i="1"/>
  <c r="X38" i="1" s="1"/>
  <c r="P39" i="1"/>
  <c r="X39" i="1" s="1"/>
  <c r="O4" i="1"/>
  <c r="W4" i="1" s="1"/>
  <c r="O5" i="1"/>
  <c r="W5" i="1" s="1"/>
  <c r="O21" i="1"/>
  <c r="W21" i="1" s="1"/>
  <c r="O27" i="1"/>
  <c r="W27" i="1" s="1"/>
  <c r="O37" i="1"/>
  <c r="W37" i="1" s="1"/>
  <c r="S3" i="1"/>
  <c r="AA3" i="1" s="1"/>
  <c r="O3" i="1"/>
  <c r="W3" i="1" s="1"/>
  <c r="G4" i="1"/>
  <c r="S4" i="1" s="1"/>
  <c r="AA4" i="1" s="1"/>
  <c r="G5" i="1"/>
  <c r="S5" i="1" s="1"/>
  <c r="AA5" i="1" s="1"/>
  <c r="G6" i="1"/>
  <c r="S6" i="1" s="1"/>
  <c r="AA6" i="1" s="1"/>
  <c r="G7" i="1"/>
  <c r="S7" i="1" s="1"/>
  <c r="AA7" i="1" s="1"/>
  <c r="G8" i="1"/>
  <c r="S8" i="1" s="1"/>
  <c r="AA8" i="1" s="1"/>
  <c r="G9" i="1"/>
  <c r="S9" i="1" s="1"/>
  <c r="AA9" i="1" s="1"/>
  <c r="G10" i="1"/>
  <c r="S10" i="1" s="1"/>
  <c r="AA10" i="1" s="1"/>
  <c r="G11" i="1"/>
  <c r="S11" i="1" s="1"/>
  <c r="AA11" i="1" s="1"/>
  <c r="G12" i="1"/>
  <c r="S12" i="1" s="1"/>
  <c r="AA12" i="1" s="1"/>
  <c r="G13" i="1"/>
  <c r="S13" i="1" s="1"/>
  <c r="AA13" i="1" s="1"/>
  <c r="G14" i="1"/>
  <c r="S14" i="1" s="1"/>
  <c r="AA14" i="1" s="1"/>
  <c r="G15" i="1"/>
  <c r="S15" i="1" s="1"/>
  <c r="AA15" i="1" s="1"/>
  <c r="G16" i="1"/>
  <c r="G17" i="1"/>
  <c r="S17" i="1" s="1"/>
  <c r="AA17" i="1" s="1"/>
  <c r="G18" i="1"/>
  <c r="S18" i="1" s="1"/>
  <c r="AA18" i="1" s="1"/>
  <c r="G19" i="1"/>
  <c r="S19" i="1" s="1"/>
  <c r="AA19" i="1" s="1"/>
  <c r="G20" i="1"/>
  <c r="S20" i="1" s="1"/>
  <c r="AA20" i="1" s="1"/>
  <c r="G21" i="1"/>
  <c r="S21" i="1" s="1"/>
  <c r="AA21" i="1" s="1"/>
  <c r="G22" i="1"/>
  <c r="S22" i="1" s="1"/>
  <c r="AA22" i="1" s="1"/>
  <c r="G23" i="1"/>
  <c r="S23" i="1" s="1"/>
  <c r="AA23" i="1" s="1"/>
  <c r="G24" i="1"/>
  <c r="S24" i="1" s="1"/>
  <c r="AA24" i="1" s="1"/>
  <c r="G25" i="1"/>
  <c r="S25" i="1" s="1"/>
  <c r="AA25" i="1" s="1"/>
  <c r="G26" i="1"/>
  <c r="S26" i="1" s="1"/>
  <c r="AA26" i="1" s="1"/>
  <c r="G27" i="1"/>
  <c r="S27" i="1" s="1"/>
  <c r="AA27" i="1" s="1"/>
  <c r="G28" i="1"/>
  <c r="S28" i="1" s="1"/>
  <c r="AA28" i="1" s="1"/>
  <c r="G29" i="1"/>
  <c r="S29" i="1" s="1"/>
  <c r="AA29" i="1" s="1"/>
  <c r="G30" i="1"/>
  <c r="S30" i="1" s="1"/>
  <c r="AA30" i="1" s="1"/>
  <c r="G31" i="1"/>
  <c r="S31" i="1" s="1"/>
  <c r="AA31" i="1" s="1"/>
  <c r="G32" i="1"/>
  <c r="G33" i="1"/>
  <c r="S33" i="1" s="1"/>
  <c r="AA33" i="1" s="1"/>
  <c r="G34" i="1"/>
  <c r="S34" i="1" s="1"/>
  <c r="AA34" i="1" s="1"/>
  <c r="G35" i="1"/>
  <c r="S35" i="1" s="1"/>
  <c r="AA35" i="1" s="1"/>
  <c r="G36" i="1"/>
  <c r="S36" i="1" s="1"/>
  <c r="AA36" i="1" s="1"/>
  <c r="G37" i="1"/>
  <c r="S37" i="1" s="1"/>
  <c r="AA37" i="1" s="1"/>
  <c r="G38" i="1"/>
  <c r="S38" i="1" s="1"/>
  <c r="AA38" i="1" s="1"/>
  <c r="G39" i="1"/>
  <c r="S39" i="1" s="1"/>
  <c r="AA39" i="1" s="1"/>
  <c r="G40" i="1"/>
  <c r="S40" i="1" s="1"/>
  <c r="AA40" i="1" s="1"/>
  <c r="G41" i="1"/>
  <c r="S41" i="1" s="1"/>
  <c r="AA41" i="1" s="1"/>
  <c r="G42" i="1"/>
  <c r="S42" i="1" s="1"/>
  <c r="AA42" i="1" s="1"/>
  <c r="G3" i="1"/>
  <c r="F4" i="1"/>
  <c r="R4" i="1" s="1"/>
  <c r="Z4" i="1" s="1"/>
  <c r="F5" i="1"/>
  <c r="R5" i="1" s="1"/>
  <c r="Z5" i="1" s="1"/>
  <c r="F6" i="1"/>
  <c r="R6" i="1" s="1"/>
  <c r="Z6" i="1" s="1"/>
  <c r="F7" i="1"/>
  <c r="R7" i="1" s="1"/>
  <c r="Z7" i="1" s="1"/>
  <c r="F8" i="1"/>
  <c r="R8" i="1" s="1"/>
  <c r="Z8" i="1" s="1"/>
  <c r="F9" i="1"/>
  <c r="F10" i="1"/>
  <c r="R10" i="1" s="1"/>
  <c r="Z10" i="1" s="1"/>
  <c r="F11" i="1"/>
  <c r="R11" i="1" s="1"/>
  <c r="Z11" i="1" s="1"/>
  <c r="F12" i="1"/>
  <c r="R12" i="1" s="1"/>
  <c r="Z12" i="1" s="1"/>
  <c r="F13" i="1"/>
  <c r="R13" i="1" s="1"/>
  <c r="Z13" i="1" s="1"/>
  <c r="F14" i="1"/>
  <c r="R14" i="1" s="1"/>
  <c r="Z14" i="1" s="1"/>
  <c r="F15" i="1"/>
  <c r="R15" i="1" s="1"/>
  <c r="Z15" i="1" s="1"/>
  <c r="F16" i="1"/>
  <c r="R16" i="1" s="1"/>
  <c r="Z16" i="1" s="1"/>
  <c r="F17" i="1"/>
  <c r="R17" i="1" s="1"/>
  <c r="Z17" i="1" s="1"/>
  <c r="F18" i="1"/>
  <c r="R18" i="1" s="1"/>
  <c r="Z18" i="1" s="1"/>
  <c r="F19" i="1"/>
  <c r="F20" i="1"/>
  <c r="R20" i="1" s="1"/>
  <c r="Z20" i="1" s="1"/>
  <c r="F21" i="1"/>
  <c r="R21" i="1" s="1"/>
  <c r="Z21" i="1" s="1"/>
  <c r="F22" i="1"/>
  <c r="R22" i="1" s="1"/>
  <c r="Z22" i="1" s="1"/>
  <c r="F23" i="1"/>
  <c r="R23" i="1" s="1"/>
  <c r="Z23" i="1" s="1"/>
  <c r="F24" i="1"/>
  <c r="R24" i="1" s="1"/>
  <c r="Z24" i="1" s="1"/>
  <c r="F25" i="1"/>
  <c r="F26" i="1"/>
  <c r="R26" i="1" s="1"/>
  <c r="Z26" i="1" s="1"/>
  <c r="F27" i="1"/>
  <c r="R27" i="1" s="1"/>
  <c r="Z27" i="1" s="1"/>
  <c r="F28" i="1"/>
  <c r="R28" i="1" s="1"/>
  <c r="Z28" i="1" s="1"/>
  <c r="F29" i="1"/>
  <c r="R29" i="1" s="1"/>
  <c r="Z29" i="1" s="1"/>
  <c r="F30" i="1"/>
  <c r="R30" i="1" s="1"/>
  <c r="Z30" i="1" s="1"/>
  <c r="F31" i="1"/>
  <c r="R31" i="1" s="1"/>
  <c r="Z31" i="1" s="1"/>
  <c r="F32" i="1"/>
  <c r="R32" i="1" s="1"/>
  <c r="Z32" i="1" s="1"/>
  <c r="F33" i="1"/>
  <c r="R33" i="1" s="1"/>
  <c r="Z33" i="1" s="1"/>
  <c r="F34" i="1"/>
  <c r="R34" i="1" s="1"/>
  <c r="Z34" i="1" s="1"/>
  <c r="F35" i="1"/>
  <c r="F36" i="1"/>
  <c r="R36" i="1" s="1"/>
  <c r="Z36" i="1" s="1"/>
  <c r="F37" i="1"/>
  <c r="R37" i="1" s="1"/>
  <c r="Z37" i="1" s="1"/>
  <c r="F38" i="1"/>
  <c r="R38" i="1" s="1"/>
  <c r="Z38" i="1" s="1"/>
  <c r="F39" i="1"/>
  <c r="R39" i="1" s="1"/>
  <c r="Z39" i="1" s="1"/>
  <c r="F40" i="1"/>
  <c r="R40" i="1" s="1"/>
  <c r="Z40" i="1" s="1"/>
  <c r="F41" i="1"/>
  <c r="F42" i="1"/>
  <c r="R42" i="1" s="1"/>
  <c r="Z42" i="1" s="1"/>
  <c r="F3" i="1"/>
  <c r="R3" i="1" s="1"/>
  <c r="Z3" i="1" s="1"/>
  <c r="E4" i="1"/>
  <c r="Q4" i="1" s="1"/>
  <c r="Y4" i="1" s="1"/>
  <c r="E5" i="1"/>
  <c r="Q5" i="1" s="1"/>
  <c r="Y5" i="1" s="1"/>
  <c r="E6" i="1"/>
  <c r="Q6" i="1" s="1"/>
  <c r="Y6" i="1" s="1"/>
  <c r="E7" i="1"/>
  <c r="Q7" i="1" s="1"/>
  <c r="Y7" i="1" s="1"/>
  <c r="E8" i="1"/>
  <c r="Q8" i="1" s="1"/>
  <c r="Y8" i="1" s="1"/>
  <c r="E9" i="1"/>
  <c r="Q9" i="1" s="1"/>
  <c r="Y9" i="1" s="1"/>
  <c r="E10" i="1"/>
  <c r="Q10" i="1" s="1"/>
  <c r="Y10" i="1" s="1"/>
  <c r="E11" i="1"/>
  <c r="E12" i="1"/>
  <c r="E13" i="1"/>
  <c r="Q13" i="1" s="1"/>
  <c r="Y13" i="1" s="1"/>
  <c r="E14" i="1"/>
  <c r="Q14" i="1" s="1"/>
  <c r="Y14" i="1" s="1"/>
  <c r="E15" i="1"/>
  <c r="Q15" i="1" s="1"/>
  <c r="Y15" i="1" s="1"/>
  <c r="E16" i="1"/>
  <c r="Q16" i="1" s="1"/>
  <c r="Y16" i="1" s="1"/>
  <c r="E17" i="1"/>
  <c r="Q17" i="1" s="1"/>
  <c r="Y17" i="1" s="1"/>
  <c r="E18" i="1"/>
  <c r="Q18" i="1" s="1"/>
  <c r="Y18" i="1" s="1"/>
  <c r="E19" i="1"/>
  <c r="Q19" i="1" s="1"/>
  <c r="Y19" i="1" s="1"/>
  <c r="E20" i="1"/>
  <c r="Q20" i="1" s="1"/>
  <c r="Y20" i="1" s="1"/>
  <c r="E21" i="1"/>
  <c r="Q21" i="1" s="1"/>
  <c r="Y21" i="1" s="1"/>
  <c r="E22" i="1"/>
  <c r="Q22" i="1" s="1"/>
  <c r="Y22" i="1" s="1"/>
  <c r="E23" i="1"/>
  <c r="Q23" i="1" s="1"/>
  <c r="Y23" i="1" s="1"/>
  <c r="E24" i="1"/>
  <c r="Q24" i="1" s="1"/>
  <c r="Y24" i="1" s="1"/>
  <c r="E25" i="1"/>
  <c r="Q25" i="1" s="1"/>
  <c r="Y25" i="1" s="1"/>
  <c r="E26" i="1"/>
  <c r="Q26" i="1" s="1"/>
  <c r="Y26" i="1" s="1"/>
  <c r="E27" i="1"/>
  <c r="E28" i="1"/>
  <c r="E29" i="1"/>
  <c r="Q29" i="1" s="1"/>
  <c r="Y29" i="1" s="1"/>
  <c r="E30" i="1"/>
  <c r="Q30" i="1" s="1"/>
  <c r="Y30" i="1" s="1"/>
  <c r="E31" i="1"/>
  <c r="Q31" i="1" s="1"/>
  <c r="Y31" i="1" s="1"/>
  <c r="E32" i="1"/>
  <c r="Q32" i="1" s="1"/>
  <c r="Y32" i="1" s="1"/>
  <c r="E33" i="1"/>
  <c r="Q33" i="1" s="1"/>
  <c r="Y33" i="1" s="1"/>
  <c r="E34" i="1"/>
  <c r="Q34" i="1" s="1"/>
  <c r="Y34" i="1" s="1"/>
  <c r="E35" i="1"/>
  <c r="Q35" i="1" s="1"/>
  <c r="Y35" i="1" s="1"/>
  <c r="E36" i="1"/>
  <c r="Q36" i="1" s="1"/>
  <c r="Y36" i="1" s="1"/>
  <c r="E37" i="1"/>
  <c r="Q37" i="1" s="1"/>
  <c r="Y37" i="1" s="1"/>
  <c r="E38" i="1"/>
  <c r="Q38" i="1" s="1"/>
  <c r="Y38" i="1" s="1"/>
  <c r="E39" i="1"/>
  <c r="Q39" i="1" s="1"/>
  <c r="Y39" i="1" s="1"/>
  <c r="E40" i="1"/>
  <c r="Q40" i="1" s="1"/>
  <c r="Y40" i="1" s="1"/>
  <c r="E41" i="1"/>
  <c r="Q41" i="1" s="1"/>
  <c r="Y41" i="1" s="1"/>
  <c r="E42" i="1"/>
  <c r="Q42" i="1" s="1"/>
  <c r="Y42" i="1" s="1"/>
  <c r="D4" i="1"/>
  <c r="P4" i="1" s="1"/>
  <c r="X4" i="1" s="1"/>
  <c r="D5" i="1"/>
  <c r="D6" i="1"/>
  <c r="D7" i="1"/>
  <c r="D8" i="1"/>
  <c r="P8" i="1" s="1"/>
  <c r="X8" i="1" s="1"/>
  <c r="D9" i="1"/>
  <c r="P9" i="1" s="1"/>
  <c r="X9" i="1" s="1"/>
  <c r="D10" i="1"/>
  <c r="P10" i="1" s="1"/>
  <c r="X10" i="1" s="1"/>
  <c r="D11" i="1"/>
  <c r="D12" i="1"/>
  <c r="D13" i="1"/>
  <c r="P13" i="1" s="1"/>
  <c r="X13" i="1" s="1"/>
  <c r="D14" i="1"/>
  <c r="P14" i="1" s="1"/>
  <c r="X14" i="1" s="1"/>
  <c r="D15" i="1"/>
  <c r="P15" i="1" s="1"/>
  <c r="X15" i="1" s="1"/>
  <c r="D16" i="1"/>
  <c r="P16" i="1" s="1"/>
  <c r="X16" i="1" s="1"/>
  <c r="D17" i="1"/>
  <c r="P17" i="1" s="1"/>
  <c r="X17" i="1" s="1"/>
  <c r="D18" i="1"/>
  <c r="P18" i="1" s="1"/>
  <c r="X18" i="1" s="1"/>
  <c r="D19" i="1"/>
  <c r="P19" i="1" s="1"/>
  <c r="X19" i="1" s="1"/>
  <c r="D20" i="1"/>
  <c r="P20" i="1" s="1"/>
  <c r="X20" i="1" s="1"/>
  <c r="D21" i="1"/>
  <c r="D22" i="1"/>
  <c r="D23" i="1"/>
  <c r="D24" i="1"/>
  <c r="P24" i="1" s="1"/>
  <c r="X24" i="1" s="1"/>
  <c r="D25" i="1"/>
  <c r="P25" i="1" s="1"/>
  <c r="X25" i="1" s="1"/>
  <c r="D26" i="1"/>
  <c r="P26" i="1" s="1"/>
  <c r="X26" i="1" s="1"/>
  <c r="D27" i="1"/>
  <c r="D28" i="1"/>
  <c r="D29" i="1"/>
  <c r="P29" i="1" s="1"/>
  <c r="X29" i="1" s="1"/>
  <c r="D30" i="1"/>
  <c r="P30" i="1" s="1"/>
  <c r="X30" i="1" s="1"/>
  <c r="D31" i="1"/>
  <c r="P31" i="1" s="1"/>
  <c r="X31" i="1" s="1"/>
  <c r="D32" i="1"/>
  <c r="P32" i="1" s="1"/>
  <c r="X32" i="1" s="1"/>
  <c r="D33" i="1"/>
  <c r="P33" i="1" s="1"/>
  <c r="X33" i="1" s="1"/>
  <c r="D34" i="1"/>
  <c r="P34" i="1" s="1"/>
  <c r="X34" i="1" s="1"/>
  <c r="D35" i="1"/>
  <c r="P35" i="1" s="1"/>
  <c r="X35" i="1" s="1"/>
  <c r="D36" i="1"/>
  <c r="P36" i="1" s="1"/>
  <c r="X36" i="1" s="1"/>
  <c r="D37" i="1"/>
  <c r="D38" i="1"/>
  <c r="D39" i="1"/>
  <c r="D40" i="1"/>
  <c r="P40" i="1" s="1"/>
  <c r="X40" i="1" s="1"/>
  <c r="D41" i="1"/>
  <c r="P41" i="1" s="1"/>
  <c r="X41" i="1" s="1"/>
  <c r="D42" i="1"/>
  <c r="P42" i="1" s="1"/>
  <c r="X42" i="1" s="1"/>
  <c r="E3" i="1"/>
  <c r="Q3" i="1" s="1"/>
  <c r="Y3" i="1" s="1"/>
  <c r="D3" i="1"/>
  <c r="P3" i="1" s="1"/>
  <c r="X3" i="1" s="1"/>
  <c r="C14" i="1"/>
  <c r="O14" i="1" s="1"/>
  <c r="W14" i="1" s="1"/>
  <c r="C15" i="1"/>
  <c r="O15" i="1" s="1"/>
  <c r="W15" i="1" s="1"/>
  <c r="C16" i="1"/>
  <c r="O16" i="1" s="1"/>
  <c r="W16" i="1" s="1"/>
  <c r="C17" i="1"/>
  <c r="O17" i="1" s="1"/>
  <c r="W17" i="1" s="1"/>
  <c r="C18" i="1"/>
  <c r="O18" i="1" s="1"/>
  <c r="W18" i="1" s="1"/>
  <c r="C19" i="1"/>
  <c r="O19" i="1" s="1"/>
  <c r="W19" i="1" s="1"/>
  <c r="C20" i="1"/>
  <c r="O20" i="1" s="1"/>
  <c r="W20" i="1" s="1"/>
  <c r="C21" i="1"/>
  <c r="C22" i="1"/>
  <c r="O22" i="1" s="1"/>
  <c r="W22" i="1" s="1"/>
  <c r="C23" i="1"/>
  <c r="O23" i="1" s="1"/>
  <c r="W23" i="1" s="1"/>
  <c r="C24" i="1"/>
  <c r="O24" i="1" s="1"/>
  <c r="W24" i="1" s="1"/>
  <c r="C25" i="1"/>
  <c r="O25" i="1" s="1"/>
  <c r="W25" i="1" s="1"/>
  <c r="C26" i="1"/>
  <c r="O26" i="1" s="1"/>
  <c r="W26" i="1" s="1"/>
  <c r="C27" i="1"/>
  <c r="C28" i="1"/>
  <c r="O28" i="1" s="1"/>
  <c r="W28" i="1" s="1"/>
  <c r="C29" i="1"/>
  <c r="O29" i="1" s="1"/>
  <c r="W29" i="1" s="1"/>
  <c r="C30" i="1"/>
  <c r="O30" i="1" s="1"/>
  <c r="W30" i="1" s="1"/>
  <c r="C31" i="1"/>
  <c r="O31" i="1" s="1"/>
  <c r="W31" i="1" s="1"/>
  <c r="C32" i="1"/>
  <c r="O32" i="1" s="1"/>
  <c r="W32" i="1" s="1"/>
  <c r="C33" i="1"/>
  <c r="O33" i="1" s="1"/>
  <c r="W33" i="1" s="1"/>
  <c r="C34" i="1"/>
  <c r="O34" i="1" s="1"/>
  <c r="W34" i="1" s="1"/>
  <c r="C35" i="1"/>
  <c r="O35" i="1" s="1"/>
  <c r="W35" i="1" s="1"/>
  <c r="C36" i="1"/>
  <c r="O36" i="1" s="1"/>
  <c r="W36" i="1" s="1"/>
  <c r="C37" i="1"/>
  <c r="C38" i="1"/>
  <c r="O38" i="1" s="1"/>
  <c r="W38" i="1" s="1"/>
  <c r="C39" i="1"/>
  <c r="O39" i="1" s="1"/>
  <c r="W39" i="1" s="1"/>
  <c r="C40" i="1"/>
  <c r="O40" i="1" s="1"/>
  <c r="W40" i="1" s="1"/>
  <c r="C41" i="1"/>
  <c r="O41" i="1" s="1"/>
  <c r="W41" i="1" s="1"/>
  <c r="C42" i="1"/>
  <c r="O42" i="1" s="1"/>
  <c r="W42" i="1" s="1"/>
  <c r="C4" i="1"/>
  <c r="C5" i="1"/>
  <c r="C6" i="1"/>
  <c r="O6" i="1" s="1"/>
  <c r="W6" i="1" s="1"/>
  <c r="C7" i="1"/>
  <c r="O7" i="1" s="1"/>
  <c r="W7" i="1" s="1"/>
  <c r="C8" i="1"/>
  <c r="O8" i="1" s="1"/>
  <c r="W8" i="1" s="1"/>
  <c r="C9" i="1"/>
  <c r="O9" i="1" s="1"/>
  <c r="W9" i="1" s="1"/>
  <c r="C10" i="1"/>
  <c r="O10" i="1" s="1"/>
  <c r="W10" i="1" s="1"/>
  <c r="C11" i="1"/>
  <c r="O11" i="1" s="1"/>
  <c r="W11" i="1" s="1"/>
  <c r="C12" i="1"/>
  <c r="O12" i="1" s="1"/>
  <c r="W12" i="1" s="1"/>
  <c r="C13" i="1"/>
  <c r="O13" i="1" s="1"/>
  <c r="W13" i="1" s="1"/>
  <c r="C3" i="1"/>
  <c r="AG3" i="1" l="1"/>
  <c r="AF3" i="1"/>
  <c r="AF27" i="1"/>
  <c r="AD27" i="1"/>
  <c r="AC27" i="1"/>
  <c r="AD40" i="1"/>
  <c r="AC40" i="1"/>
  <c r="AD36" i="1"/>
  <c r="AC36" i="1"/>
  <c r="AD32" i="1"/>
  <c r="AC32" i="1"/>
  <c r="AD28" i="1"/>
  <c r="AC28" i="1"/>
  <c r="AD24" i="1"/>
  <c r="AC24" i="1"/>
  <c r="AD20" i="1"/>
  <c r="AC20" i="1"/>
  <c r="AD16" i="1"/>
  <c r="AC16" i="1"/>
  <c r="AD12" i="1"/>
  <c r="AC12" i="1"/>
  <c r="AD4" i="1"/>
  <c r="AC4" i="1"/>
  <c r="AD41" i="1"/>
  <c r="AC41" i="1"/>
  <c r="AD37" i="1"/>
  <c r="AC37" i="1"/>
  <c r="AD33" i="1"/>
  <c r="AC33" i="1"/>
  <c r="AD29" i="1"/>
  <c r="AC29" i="1"/>
  <c r="AD25" i="1"/>
  <c r="AC25" i="1"/>
  <c r="AD21" i="1"/>
  <c r="AC21" i="1"/>
  <c r="AD17" i="1"/>
  <c r="AC17" i="1"/>
  <c r="AD13" i="1"/>
  <c r="AC13" i="1"/>
  <c r="AD9" i="1"/>
  <c r="AC9" i="1"/>
  <c r="AD5" i="1"/>
  <c r="AC5" i="1"/>
  <c r="AD42" i="1"/>
  <c r="AC42" i="1"/>
  <c r="AD38" i="1"/>
  <c r="AC38" i="1"/>
  <c r="AD34" i="1"/>
  <c r="AC34" i="1"/>
  <c r="AD30" i="1"/>
  <c r="AC30" i="1"/>
  <c r="AD26" i="1"/>
  <c r="AC26" i="1"/>
  <c r="AD22" i="1"/>
  <c r="AC22" i="1"/>
  <c r="AD18" i="1"/>
  <c r="AC18" i="1"/>
  <c r="AD14" i="1"/>
  <c r="AC14" i="1"/>
  <c r="AD10" i="1"/>
  <c r="AC10" i="1"/>
  <c r="AD6" i="1"/>
  <c r="AC6" i="1"/>
  <c r="AD35" i="1"/>
  <c r="AC35" i="1"/>
  <c r="AF35" i="1"/>
  <c r="AF31" i="1"/>
  <c r="AD31" i="1"/>
  <c r="AC31" i="1"/>
  <c r="AF23" i="1"/>
  <c r="AD23" i="1"/>
  <c r="AC23" i="1"/>
  <c r="AD19" i="1"/>
  <c r="AC19" i="1"/>
  <c r="AF19" i="1"/>
  <c r="AD15" i="1"/>
  <c r="AC15" i="1"/>
  <c r="AD11" i="1"/>
  <c r="AC11" i="1"/>
  <c r="AD7" i="1"/>
  <c r="AC7" i="1"/>
  <c r="AF39" i="1"/>
  <c r="AD39" i="1"/>
  <c r="AC39" i="1"/>
  <c r="AD8" i="1"/>
  <c r="AC8" i="1"/>
  <c r="AE15" i="1"/>
  <c r="AE10" i="1"/>
  <c r="AE6" i="1"/>
  <c r="AF15" i="1"/>
  <c r="AF11" i="1"/>
  <c r="AF7" i="1"/>
  <c r="AE41" i="1"/>
  <c r="AE37" i="1"/>
  <c r="AE33" i="1"/>
  <c r="AE29" i="1"/>
  <c r="AE25" i="1"/>
  <c r="AE21" i="1"/>
  <c r="AE17" i="1"/>
  <c r="AF40" i="1"/>
  <c r="AF36" i="1"/>
  <c r="AF32" i="1"/>
  <c r="AF28" i="1"/>
  <c r="AF24" i="1"/>
  <c r="AF20" i="1"/>
  <c r="AG42" i="1"/>
  <c r="AG38" i="1"/>
  <c r="AG34" i="1"/>
  <c r="AG30" i="1"/>
  <c r="AG26" i="1"/>
  <c r="AG22" i="1"/>
  <c r="AG18" i="1"/>
  <c r="AG14" i="1"/>
  <c r="AG10" i="1"/>
  <c r="AG6" i="1"/>
  <c r="AE3" i="1"/>
  <c r="AE16" i="1"/>
  <c r="AE11" i="1"/>
  <c r="AE7" i="1"/>
  <c r="AF16" i="1"/>
  <c r="AF12" i="1"/>
  <c r="AF8" i="1"/>
  <c r="AF4" i="1"/>
  <c r="AE42" i="1"/>
  <c r="AE38" i="1"/>
  <c r="AE34" i="1"/>
  <c r="AE30" i="1"/>
  <c r="AE26" i="1"/>
  <c r="AE22" i="1"/>
  <c r="AE18" i="1"/>
  <c r="AF41" i="1"/>
  <c r="AF37" i="1"/>
  <c r="AF33" i="1"/>
  <c r="AF29" i="1"/>
  <c r="AF25" i="1"/>
  <c r="AF21" i="1"/>
  <c r="AF17" i="1"/>
  <c r="AG39" i="1"/>
  <c r="AG35" i="1"/>
  <c r="AG31" i="1"/>
  <c r="AG27" i="1"/>
  <c r="AG23" i="1"/>
  <c r="AG19" i="1"/>
  <c r="AG15" i="1"/>
  <c r="AG11" i="1"/>
  <c r="AG7" i="1"/>
  <c r="AC3" i="1"/>
  <c r="AD3" i="1"/>
  <c r="AE12" i="1"/>
  <c r="AE8" i="1"/>
  <c r="AE4" i="1"/>
  <c r="AF13" i="1"/>
  <c r="AF9" i="1"/>
  <c r="AF5" i="1"/>
  <c r="AE39" i="1"/>
  <c r="AE35" i="1"/>
  <c r="AE31" i="1"/>
  <c r="AE27" i="1"/>
  <c r="AE23" i="1"/>
  <c r="AE19" i="1"/>
  <c r="AF42" i="1"/>
  <c r="AF38" i="1"/>
  <c r="AF34" i="1"/>
  <c r="AF30" i="1"/>
  <c r="AF26" i="1"/>
  <c r="AF22" i="1"/>
  <c r="AF18" i="1"/>
  <c r="AG40" i="1"/>
  <c r="AG36" i="1"/>
  <c r="AG32" i="1"/>
  <c r="AG28" i="1"/>
  <c r="AG24" i="1"/>
  <c r="AG20" i="1"/>
  <c r="AG16" i="1"/>
  <c r="AG12" i="1"/>
  <c r="AG8" i="1"/>
  <c r="AG4" i="1"/>
  <c r="AE14" i="1"/>
  <c r="AE9" i="1"/>
  <c r="AE5" i="1"/>
  <c r="AF14" i="1"/>
  <c r="AF10" i="1"/>
  <c r="AF6" i="1"/>
  <c r="AE40" i="1"/>
  <c r="AE36" i="1"/>
  <c r="AE32" i="1"/>
  <c r="AE28" i="1"/>
  <c r="AE24" i="1"/>
  <c r="AE20" i="1"/>
  <c r="AE13" i="1"/>
  <c r="AG41" i="1"/>
  <c r="AG37" i="1"/>
  <c r="AG33" i="1"/>
  <c r="AG29" i="1"/>
  <c r="AG25" i="1"/>
  <c r="AG21" i="1"/>
  <c r="AG17" i="1"/>
  <c r="AG13" i="1"/>
  <c r="AG9" i="1"/>
  <c r="AG5" i="1"/>
  <c r="AI36" i="1"/>
  <c r="AN10" i="1" l="1"/>
  <c r="AK21" i="1"/>
  <c r="AK25" i="1"/>
  <c r="AN41" i="1"/>
  <c r="AT41" i="1" s="1"/>
  <c r="AY41" i="1" s="1"/>
  <c r="AL23" i="1"/>
  <c r="AL27" i="1"/>
  <c r="AR27" i="1" s="1"/>
  <c r="AW27" i="1" s="1"/>
  <c r="AN23" i="1"/>
  <c r="AL34" i="1"/>
  <c r="AR34" i="1" s="1"/>
  <c r="AW34" i="1" s="1"/>
  <c r="AN26" i="1"/>
  <c r="AL37" i="1"/>
  <c r="AL20" i="1"/>
  <c r="AN20" i="1"/>
  <c r="AL31" i="1"/>
  <c r="AN27" i="1"/>
  <c r="AL41" i="1"/>
  <c r="AK28" i="1"/>
  <c r="AQ28" i="1" s="1"/>
  <c r="AV28" i="1" s="1"/>
  <c r="AM38" i="1"/>
  <c r="AS38" i="1" s="1"/>
  <c r="AX38" i="1" s="1"/>
  <c r="AM35" i="1"/>
  <c r="AS35" i="1" s="1"/>
  <c r="AX35" i="1" s="1"/>
  <c r="AK20" i="1"/>
  <c r="AI12" i="1"/>
  <c r="AL12" i="1" s="1"/>
  <c r="AR12" i="1" s="1"/>
  <c r="AW12" i="1" s="1"/>
  <c r="AN12" i="1"/>
  <c r="AT12" i="1" s="1"/>
  <c r="AY12" i="1" s="1"/>
  <c r="AL24" i="1"/>
  <c r="AN24" i="1"/>
  <c r="AL35" i="1"/>
  <c r="AN31" i="1"/>
  <c r="AL42" i="1"/>
  <c r="AL28" i="1"/>
  <c r="AN28" i="1"/>
  <c r="AL39" i="1"/>
  <c r="AN35" i="1"/>
  <c r="AM19" i="1"/>
  <c r="AK32" i="1"/>
  <c r="AN7" i="1"/>
  <c r="AI32" i="1"/>
  <c r="AN32" i="1"/>
  <c r="AL36" i="1"/>
  <c r="AR36" i="1"/>
  <c r="AW36" i="1" s="1"/>
  <c r="AK19" i="1"/>
  <c r="AN5" i="1"/>
  <c r="AT5" i="1" s="1"/>
  <c r="AY5" i="1" s="1"/>
  <c r="AM16" i="1"/>
  <c r="AK41" i="1"/>
  <c r="AQ41" i="1" s="1"/>
  <c r="AV41" i="1" s="1"/>
  <c r="AM18" i="1"/>
  <c r="AK23" i="1"/>
  <c r="AN37" i="1"/>
  <c r="AL32" i="1"/>
  <c r="AM5" i="1"/>
  <c r="AN42" i="1"/>
  <c r="AK5" i="1"/>
  <c r="AN36" i="1"/>
  <c r="AM9" i="1"/>
  <c r="AS9" i="1" s="1"/>
  <c r="AX9" i="1" s="1"/>
  <c r="AI40" i="1"/>
  <c r="AL40" i="1"/>
  <c r="AN40" i="1"/>
  <c r="AM21" i="1"/>
  <c r="AM24" i="1"/>
  <c r="AK9" i="1"/>
  <c r="AK36" i="1"/>
  <c r="AQ36" i="1" s="1"/>
  <c r="AV36" i="1" s="1"/>
  <c r="AN9" i="1"/>
  <c r="AT9" i="1" s="1"/>
  <c r="AY9" i="1" s="1"/>
  <c r="AI4" i="1"/>
  <c r="AK4" i="1" s="1"/>
  <c r="AQ4" i="1" s="1"/>
  <c r="AV4" i="1" s="1"/>
  <c r="AL4" i="1"/>
  <c r="AR4" i="1" s="1"/>
  <c r="AW4" i="1" s="1"/>
  <c r="AM10" i="1"/>
  <c r="AM32" i="1"/>
  <c r="AM23" i="1"/>
  <c r="AK40" i="1"/>
  <c r="AQ40" i="1" s="1"/>
  <c r="AV40" i="1" s="1"/>
  <c r="AM39" i="1"/>
  <c r="AS39" i="1" s="1"/>
  <c r="AX39" i="1" s="1"/>
  <c r="AM42" i="1"/>
  <c r="AN39" i="1"/>
  <c r="AK14" i="1"/>
  <c r="AN17" i="1"/>
  <c r="AM26" i="1"/>
  <c r="AM36" i="1"/>
  <c r="AI21" i="1"/>
  <c r="AN21" i="1"/>
  <c r="AL5" i="1"/>
  <c r="AM37" i="1"/>
  <c r="AM40" i="1"/>
  <c r="AS40" i="1" s="1"/>
  <c r="AX40" i="1" s="1"/>
  <c r="AK31" i="1"/>
  <c r="AK26" i="1"/>
  <c r="AK12" i="1"/>
  <c r="AQ12" i="1" s="1"/>
  <c r="AV12" i="1" s="1"/>
  <c r="AK27" i="1"/>
  <c r="AQ27" i="1" s="1"/>
  <c r="AV27" i="1" s="1"/>
  <c r="AL21" i="1"/>
  <c r="AR21" i="1" s="1"/>
  <c r="AW21" i="1" s="1"/>
  <c r="AN4" i="1"/>
  <c r="AT4" i="1" s="1"/>
  <c r="AY4" i="1" s="1"/>
  <c r="AK8" i="1"/>
  <c r="AN25" i="1"/>
  <c r="AL9" i="1"/>
  <c r="AI34" i="1"/>
  <c r="AN34" i="1" s="1"/>
  <c r="AT34" i="1" s="1"/>
  <c r="AY34" i="1" s="1"/>
  <c r="AM34" i="1"/>
  <c r="AS34" i="1" s="1"/>
  <c r="AX34" i="1" s="1"/>
  <c r="AM41" i="1"/>
  <c r="AL17" i="1"/>
  <c r="AK39" i="1"/>
  <c r="AM31" i="1"/>
  <c r="AM27" i="1"/>
  <c r="AS27" i="1" s="1"/>
  <c r="AX27" i="1" s="1"/>
  <c r="AI41" i="1"/>
  <c r="AI25" i="1"/>
  <c r="AM25" i="1" s="1"/>
  <c r="AI5" i="1"/>
  <c r="AI28" i="1"/>
  <c r="AI24" i="1"/>
  <c r="AK24" i="1" s="1"/>
  <c r="AI14" i="1"/>
  <c r="AI9" i="1"/>
  <c r="AI27" i="1"/>
  <c r="AI18" i="1"/>
  <c r="AI19" i="1"/>
  <c r="AL19" i="1" s="1"/>
  <c r="AR19" i="1" s="1"/>
  <c r="AW19" i="1" s="1"/>
  <c r="AI3" i="1"/>
  <c r="AL3" i="1" s="1"/>
  <c r="AR3" i="1" s="1"/>
  <c r="AI16" i="1"/>
  <c r="AK16" i="1" s="1"/>
  <c r="AI11" i="1"/>
  <c r="AK11" i="1" s="1"/>
  <c r="AQ11" i="1" s="1"/>
  <c r="AV11" i="1" s="1"/>
  <c r="AI22" i="1"/>
  <c r="AN22" i="1" s="1"/>
  <c r="AI38" i="1"/>
  <c r="AL38" i="1" s="1"/>
  <c r="AR38" i="1" s="1"/>
  <c r="AW38" i="1" s="1"/>
  <c r="AI29" i="1"/>
  <c r="AL29" i="1" s="1"/>
  <c r="AI39" i="1"/>
  <c r="AI23" i="1"/>
  <c r="AI31" i="1"/>
  <c r="AI26" i="1"/>
  <c r="AL26" i="1" s="1"/>
  <c r="AI20" i="1"/>
  <c r="AI37" i="1"/>
  <c r="AI10" i="1"/>
  <c r="AI42" i="1"/>
  <c r="AK42" i="1" s="1"/>
  <c r="AI35" i="1"/>
  <c r="AK35" i="1" s="1"/>
  <c r="AI7" i="1"/>
  <c r="AM7" i="1" s="1"/>
  <c r="AI17" i="1"/>
  <c r="AK17" i="1" s="1"/>
  <c r="AI15" i="1"/>
  <c r="AI6" i="1"/>
  <c r="AI33" i="1"/>
  <c r="AN33" i="1" s="1"/>
  <c r="AI30" i="1"/>
  <c r="AK30" i="1" s="1"/>
  <c r="AI13" i="1"/>
  <c r="AK13" i="1" s="1"/>
  <c r="AI8" i="1"/>
  <c r="AN8" i="1" s="1"/>
  <c r="AS21" i="1"/>
  <c r="AX21" i="1" s="1"/>
  <c r="AT28" i="1"/>
  <c r="AY28" i="1" s="1"/>
  <c r="AS36" i="1"/>
  <c r="AX36" i="1" s="1"/>
  <c r="AT36" i="1"/>
  <c r="AY36" i="1" s="1"/>
  <c r="AT31" i="1"/>
  <c r="AY31" i="1" s="1"/>
  <c r="AT40" i="1"/>
  <c r="AY40" i="1" s="1"/>
  <c r="AQ9" i="1"/>
  <c r="AV9" i="1" s="1"/>
  <c r="AR9" i="1"/>
  <c r="AW9" i="1" s="1"/>
  <c r="AS32" i="1"/>
  <c r="AX32" i="1" s="1"/>
  <c r="AR40" i="1"/>
  <c r="AW40" i="1" s="1"/>
  <c r="AR32" i="1"/>
  <c r="AW32" i="1" s="1"/>
  <c r="AQ32" i="1"/>
  <c r="AV32" i="1" s="1"/>
  <c r="AR31" i="1"/>
  <c r="AW31" i="1" s="1"/>
  <c r="AT6" i="1" l="1"/>
  <c r="AY6" i="1" s="1"/>
  <c r="AM13" i="1"/>
  <c r="AM6" i="1"/>
  <c r="AN30" i="1"/>
  <c r="AN38" i="1"/>
  <c r="AR17" i="1"/>
  <c r="AW17" i="1" s="1"/>
  <c r="AM4" i="1"/>
  <c r="AS4" i="1" s="1"/>
  <c r="AX4" i="1" s="1"/>
  <c r="AM17" i="1"/>
  <c r="AN19" i="1"/>
  <c r="AT19" i="1" s="1"/>
  <c r="AY19" i="1" s="1"/>
  <c r="AL13" i="1"/>
  <c r="AR13" i="1" s="1"/>
  <c r="AW13" i="1" s="1"/>
  <c r="AR18" i="1"/>
  <c r="AW18" i="1" s="1"/>
  <c r="AN11" i="1"/>
  <c r="AT11" i="1" s="1"/>
  <c r="AY11" i="1" s="1"/>
  <c r="AR10" i="1"/>
  <c r="AW10" i="1" s="1"/>
  <c r="AN29" i="1"/>
  <c r="AT29" i="1" s="1"/>
  <c r="AY29" i="1" s="1"/>
  <c r="AN6" i="1"/>
  <c r="AR14" i="1"/>
  <c r="AW14" i="1" s="1"/>
  <c r="AM30" i="1"/>
  <c r="AL14" i="1"/>
  <c r="AK33" i="1"/>
  <c r="AK34" i="1"/>
  <c r="AQ34" i="1" s="1"/>
  <c r="AV34" i="1" s="1"/>
  <c r="AR28" i="1"/>
  <c r="AW28" i="1" s="1"/>
  <c r="AL15" i="1"/>
  <c r="AR15" i="1" s="1"/>
  <c r="AW15" i="1" s="1"/>
  <c r="AK10" i="1"/>
  <c r="AQ10" i="1" s="1"/>
  <c r="AV10" i="1" s="1"/>
  <c r="AN18" i="1"/>
  <c r="AT18" i="1" s="1"/>
  <c r="AY18" i="1" s="1"/>
  <c r="AK29" i="1"/>
  <c r="AQ29" i="1" s="1"/>
  <c r="AV29" i="1" s="1"/>
  <c r="AR5" i="1"/>
  <c r="AW5" i="1" s="1"/>
  <c r="AM14" i="1"/>
  <c r="AS14" i="1" s="1"/>
  <c r="AX14" i="1" s="1"/>
  <c r="AM29" i="1"/>
  <c r="AS29" i="1" s="1"/>
  <c r="AX29" i="1" s="1"/>
  <c r="AM28" i="1"/>
  <c r="AS28" i="1" s="1"/>
  <c r="AX28" i="1" s="1"/>
  <c r="AK15" i="1"/>
  <c r="AQ15" i="1" s="1"/>
  <c r="AV15" i="1" s="1"/>
  <c r="AN15" i="1"/>
  <c r="AT15" i="1" s="1"/>
  <c r="AY15" i="1" s="1"/>
  <c r="AK38" i="1"/>
  <c r="AQ38" i="1" s="1"/>
  <c r="AV38" i="1" s="1"/>
  <c r="AR37" i="1"/>
  <c r="AW37" i="1" s="1"/>
  <c r="AR20" i="1"/>
  <c r="AW20" i="1" s="1"/>
  <c r="AL16" i="1"/>
  <c r="AL8" i="1"/>
  <c r="AL6" i="1"/>
  <c r="AL7" i="1"/>
  <c r="AL25" i="1"/>
  <c r="AR25" i="1" s="1"/>
  <c r="AW25" i="1" s="1"/>
  <c r="AK6" i="1"/>
  <c r="AQ6" i="1" s="1"/>
  <c r="AV6" i="1" s="1"/>
  <c r="AR22" i="1"/>
  <c r="AW22" i="1" s="1"/>
  <c r="AM11" i="1"/>
  <c r="AS11" i="1" s="1"/>
  <c r="AX11" i="1" s="1"/>
  <c r="AN16" i="1"/>
  <c r="AT16" i="1" s="1"/>
  <c r="AY16" i="1" s="1"/>
  <c r="AR7" i="1"/>
  <c r="AW7" i="1" s="1"/>
  <c r="AR35" i="1"/>
  <c r="AW35" i="1" s="1"/>
  <c r="AL33" i="1"/>
  <c r="AR33" i="1" s="1"/>
  <c r="AW33" i="1" s="1"/>
  <c r="AR42" i="1"/>
  <c r="AW42" i="1" s="1"/>
  <c r="AK18" i="1"/>
  <c r="AQ18" i="1" s="1"/>
  <c r="AV18" i="1" s="1"/>
  <c r="AL10" i="1"/>
  <c r="AL30" i="1"/>
  <c r="AK22" i="1"/>
  <c r="AL18" i="1"/>
  <c r="AM12" i="1"/>
  <c r="AS12" i="1" s="1"/>
  <c r="AX12" i="1" s="1"/>
  <c r="AM15" i="1"/>
  <c r="AS15" i="1" s="1"/>
  <c r="AX15" i="1" s="1"/>
  <c r="AK7" i="1"/>
  <c r="AL11" i="1"/>
  <c r="AR11" i="1" s="1"/>
  <c r="AW11" i="1" s="1"/>
  <c r="AR23" i="1"/>
  <c r="AW23" i="1" s="1"/>
  <c r="AK37" i="1"/>
  <c r="AR8" i="1"/>
  <c r="AW8" i="1" s="1"/>
  <c r="AR39" i="1"/>
  <c r="AW39" i="1" s="1"/>
  <c r="AR41" i="1"/>
  <c r="AW41" i="1" s="1"/>
  <c r="AM8" i="1"/>
  <c r="AS8" i="1" s="1"/>
  <c r="AX8" i="1" s="1"/>
  <c r="AM33" i="1"/>
  <c r="AS33" i="1" s="1"/>
  <c r="AX33" i="1" s="1"/>
  <c r="AM22" i="1"/>
  <c r="AS22" i="1" s="1"/>
  <c r="AX22" i="1" s="1"/>
  <c r="AM20" i="1"/>
  <c r="AN14" i="1"/>
  <c r="AR29" i="1"/>
  <c r="AW29" i="1" s="1"/>
  <c r="AL22" i="1"/>
  <c r="AR30" i="1"/>
  <c r="AW30" i="1" s="1"/>
  <c r="AN13" i="1"/>
  <c r="AT13" i="1" s="1"/>
  <c r="AY13" i="1" s="1"/>
  <c r="AS41" i="1"/>
  <c r="AX41" i="1" s="1"/>
  <c r="AT39" i="1"/>
  <c r="AY39" i="1" s="1"/>
  <c r="AT25" i="1"/>
  <c r="AY25" i="1" s="1"/>
  <c r="AQ25" i="1"/>
  <c r="AV25" i="1" s="1"/>
  <c r="AT23" i="1"/>
  <c r="AY23" i="1" s="1"/>
  <c r="AS23" i="1"/>
  <c r="AX23" i="1" s="1"/>
  <c r="AQ22" i="1"/>
  <c r="AV22" i="1" s="1"/>
  <c r="AT22" i="1"/>
  <c r="AY22" i="1" s="1"/>
  <c r="AS20" i="1"/>
  <c r="AX20" i="1" s="1"/>
  <c r="AT20" i="1"/>
  <c r="AY20" i="1" s="1"/>
  <c r="AS19" i="1"/>
  <c r="AX19" i="1" s="1"/>
  <c r="AS18" i="1"/>
  <c r="AX18" i="1" s="1"/>
  <c r="AQ14" i="1"/>
  <c r="AV14" i="1" s="1"/>
  <c r="AT14" i="1"/>
  <c r="AY14" i="1" s="1"/>
  <c r="AS5" i="1"/>
  <c r="AX5" i="1" s="1"/>
  <c r="AQ5" i="1"/>
  <c r="AV5" i="1" s="1"/>
  <c r="AN3" i="1"/>
  <c r="AT3" i="1" s="1"/>
  <c r="AM3" i="1"/>
  <c r="AS3" i="1" s="1"/>
  <c r="AK3" i="1"/>
  <c r="AQ3" i="1" s="1"/>
  <c r="AS31" i="1"/>
  <c r="AX31" i="1" s="1"/>
  <c r="AS37" i="1"/>
  <c r="AX37" i="1" s="1"/>
  <c r="AS25" i="1"/>
  <c r="AX25" i="1" s="1"/>
  <c r="AQ42" i="1"/>
  <c r="AV42" i="1" s="1"/>
  <c r="AQ39" i="1"/>
  <c r="AV39" i="1" s="1"/>
  <c r="AQ24" i="1"/>
  <c r="AV24" i="1" s="1"/>
  <c r="AQ19" i="1"/>
  <c r="AV19" i="1" s="1"/>
  <c r="AT8" i="1"/>
  <c r="AY8" i="1" s="1"/>
  <c r="AS42" i="1"/>
  <c r="AX42" i="1" s="1"/>
  <c r="AT38" i="1"/>
  <c r="AY38" i="1" s="1"/>
  <c r="AQ31" i="1"/>
  <c r="AV31" i="1" s="1"/>
  <c r="AS26" i="1"/>
  <c r="AX26" i="1" s="1"/>
  <c r="AT26" i="1"/>
  <c r="AY26" i="1" s="1"/>
  <c r="AQ20" i="1"/>
  <c r="AV20" i="1" s="1"/>
  <c r="AS17" i="1"/>
  <c r="AX17" i="1" s="1"/>
  <c r="AS16" i="1"/>
  <c r="AX16" i="1" s="1"/>
  <c r="AS10" i="1"/>
  <c r="AX10" i="1" s="1"/>
  <c r="AT10" i="1"/>
  <c r="AY10" i="1" s="1"/>
  <c r="AR6" i="1"/>
  <c r="AW6" i="1" s="1"/>
  <c r="AS6" i="1"/>
  <c r="AX6" i="1" s="1"/>
  <c r="AT42" i="1"/>
  <c r="AY42" i="1" s="1"/>
  <c r="AQ23" i="1"/>
  <c r="AV23" i="1" s="1"/>
  <c r="AQ37" i="1"/>
  <c r="AV37" i="1" s="1"/>
  <c r="AT37" i="1"/>
  <c r="AY37" i="1" s="1"/>
  <c r="AQ35" i="1"/>
  <c r="AV35" i="1" s="1"/>
  <c r="AQ30" i="1"/>
  <c r="AV30" i="1" s="1"/>
  <c r="AQ17" i="1"/>
  <c r="AV17" i="1" s="1"/>
  <c r="AT17" i="1"/>
  <c r="AY17" i="1" s="1"/>
  <c r="AS13" i="1"/>
  <c r="AX13" i="1" s="1"/>
  <c r="AT7" i="1"/>
  <c r="AY7" i="1" s="1"/>
  <c r="AS7" i="1"/>
  <c r="AX7" i="1" s="1"/>
  <c r="AQ7" i="1"/>
  <c r="AV7" i="1" s="1"/>
  <c r="AT35" i="1"/>
  <c r="AY35" i="1" s="1"/>
  <c r="AT30" i="1"/>
  <c r="AY30" i="1" s="1"/>
  <c r="AS30" i="1"/>
  <c r="AX30" i="1" s="1"/>
  <c r="AQ13" i="1"/>
  <c r="AV13" i="1" s="1"/>
  <c r="AQ8" i="1"/>
  <c r="AV8" i="1" s="1"/>
  <c r="AT21" i="1"/>
  <c r="AY21" i="1" s="1"/>
  <c r="AT27" i="1"/>
  <c r="AY27" i="1" s="1"/>
  <c r="AQ16" i="1"/>
  <c r="AV16" i="1" s="1"/>
  <c r="AQ21" i="1"/>
  <c r="AV21" i="1" s="1"/>
  <c r="AQ26" i="1"/>
  <c r="AV26" i="1" s="1"/>
  <c r="AT32" i="1"/>
  <c r="AY32" i="1" s="1"/>
  <c r="AT33" i="1"/>
  <c r="AY33" i="1" s="1"/>
  <c r="AR16" i="1"/>
  <c r="AW16" i="1" s="1"/>
  <c r="AR26" i="1"/>
  <c r="AW26" i="1" s="1"/>
  <c r="AQ33" i="1"/>
  <c r="AV33" i="1" s="1"/>
  <c r="AT24" i="1"/>
  <c r="AY24" i="1" s="1"/>
  <c r="AS24" i="1"/>
  <c r="AX24" i="1" s="1"/>
  <c r="AR24" i="1"/>
  <c r="AW24" i="1" s="1"/>
</calcChain>
</file>

<file path=xl/sharedStrings.xml><?xml version="1.0" encoding="utf-8"?>
<sst xmlns="http://schemas.openxmlformats.org/spreadsheetml/2006/main" count="16" uniqueCount="12">
  <si>
    <t>Шаги</t>
  </si>
  <si>
    <t>Вероятность пережить отсев</t>
  </si>
  <si>
    <t>5 нормальных шумов с М=0 и сигма=0.01</t>
  </si>
  <si>
    <t>1 - Робот</t>
  </si>
  <si>
    <t>5 частиц двигаются по заданным формулам</t>
  </si>
  <si>
    <t>Сумма весов 4-х частиц</t>
  </si>
  <si>
    <t>Вероятность близости измерения по нормальному закону</t>
  </si>
  <si>
    <t>Новый вес 4-х частиц</t>
  </si>
  <si>
    <t xml:space="preserve">Отсев, если вероятность пережить: Р&lt; 0.3  </t>
  </si>
  <si>
    <t>Координаты частиц (по формулам с норм.шумом+1)</t>
  </si>
  <si>
    <t>Координаты ориентира</t>
  </si>
  <si>
    <t>Измерение (расстояние до ориентира)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</si>
</sst>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0" xfId="0" applyFill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1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/>
    <xf numFmtId="164" fontId="0" fillId="4" borderId="1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1-Робот</c:v>
          </c:tx>
          <c:spPr>
            <a:ln>
              <a:solidFill>
                <a:srgbClr val="00B050"/>
              </a:solidFill>
            </a:ln>
          </c:spPr>
          <c:marker>
            <c:symbol val="diamond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Лист1!$A$3:$A$43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Лист1!$O$3:$O$43</c:f>
              <c:numCache>
                <c:formatCode>0.000000</c:formatCode>
                <c:ptCount val="41"/>
                <c:pt idx="0">
                  <c:v>1.0360631550382995</c:v>
                </c:pt>
                <c:pt idx="1">
                  <c:v>1.01448446400214</c:v>
                </c:pt>
                <c:pt idx="2">
                  <c:v>1.0413683175052901</c:v>
                </c:pt>
                <c:pt idx="3">
                  <c:v>1.0522861893366398</c:v>
                </c:pt>
                <c:pt idx="4">
                  <c:v>1.0254937303656093</c:v>
                </c:pt>
                <c:pt idx="5">
                  <c:v>1.0512042650558169</c:v>
                </c:pt>
                <c:pt idx="6">
                  <c:v>1.0784809025609319</c:v>
                </c:pt>
                <c:pt idx="7">
                  <c:v>1.0812209695717181</c:v>
                </c:pt>
                <c:pt idx="8">
                  <c:v>1.0917905992030033</c:v>
                </c:pt>
                <c:pt idx="9">
                  <c:v>1.0900060734941688</c:v>
                </c:pt>
                <c:pt idx="10">
                  <c:v>1.1087097525247296</c:v>
                </c:pt>
                <c:pt idx="11">
                  <c:v>1.1093846556304339</c:v>
                </c:pt>
                <c:pt idx="12">
                  <c:v>1.134159670359449</c:v>
                </c:pt>
                <c:pt idx="13">
                  <c:v>1.1439640075065403</c:v>
                </c:pt>
                <c:pt idx="14">
                  <c:v>1.154698433866886</c:v>
                </c:pt>
                <c:pt idx="15">
                  <c:v>1.1649557594581035</c:v>
                </c:pt>
                <c:pt idx="16">
                  <c:v>1.2077014547897287</c:v>
                </c:pt>
                <c:pt idx="17">
                  <c:v>1.2376363324174517</c:v>
                </c:pt>
                <c:pt idx="18">
                  <c:v>1.2555800401763018</c:v>
                </c:pt>
                <c:pt idx="19">
                  <c:v>1.2701475218305904</c:v>
                </c:pt>
                <c:pt idx="20">
                  <c:v>1.3178020036427101</c:v>
                </c:pt>
                <c:pt idx="21">
                  <c:v>1.3734581325522921</c:v>
                </c:pt>
                <c:pt idx="22">
                  <c:v>1.3968985726138163</c:v>
                </c:pt>
                <c:pt idx="23">
                  <c:v>1.425462638252236</c:v>
                </c:pt>
                <c:pt idx="24">
                  <c:v>1.4904769397214381</c:v>
                </c:pt>
                <c:pt idx="25">
                  <c:v>1.5368941382644676</c:v>
                </c:pt>
                <c:pt idx="26">
                  <c:v>1.6094775425075341</c:v>
                </c:pt>
                <c:pt idx="27">
                  <c:v>1.6785488394522299</c:v>
                </c:pt>
                <c:pt idx="28">
                  <c:v>1.7668765597492366</c:v>
                </c:pt>
                <c:pt idx="29">
                  <c:v>1.8539073084625501</c:v>
                </c:pt>
                <c:pt idx="30">
                  <c:v>1.9644293728309776</c:v>
                </c:pt>
                <c:pt idx="31">
                  <c:v>2.0721371964932933</c:v>
                </c:pt>
                <c:pt idx="32">
                  <c:v>2.1954001249982</c:v>
                </c:pt>
                <c:pt idx="33">
                  <c:v>2.3648794490790079</c:v>
                </c:pt>
                <c:pt idx="34">
                  <c:v>2.4934062813085318</c:v>
                </c:pt>
                <c:pt idx="35">
                  <c:v>2.6807349786521621</c:v>
                </c:pt>
                <c:pt idx="36">
                  <c:v>2.8962842148445951</c:v>
                </c:pt>
                <c:pt idx="37">
                  <c:v>3.122832135463014</c:v>
                </c:pt>
                <c:pt idx="38">
                  <c:v>3.3731638849184646</c:v>
                </c:pt>
                <c:pt idx="39">
                  <c:v>3.6387420574249059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F-47DF-B9B9-413A8D01497F}"/>
            </c:ext>
          </c:extLst>
        </c:ser>
        <c:ser>
          <c:idx val="1"/>
          <c:order val="1"/>
          <c:tx>
            <c:v>2</c:v>
          </c:tx>
          <c:xVal>
            <c:numRef>
              <c:f>Лист1!$A$3:$A$43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Лист1!$P$3:$P$43</c:f>
              <c:numCache>
                <c:formatCode>0.000000</c:formatCode>
                <c:ptCount val="41"/>
                <c:pt idx="0">
                  <c:v>1.0115046472701823</c:v>
                </c:pt>
                <c:pt idx="1">
                  <c:v>1.0165575246674363</c:v>
                </c:pt>
                <c:pt idx="2">
                  <c:v>1.0045199406991336</c:v>
                </c:pt>
                <c:pt idx="3">
                  <c:v>1.0049702602511266</c:v>
                </c:pt>
                <c:pt idx="4">
                  <c:v>1.0094731758841162</c:v>
                </c:pt>
                <c:pt idx="5">
                  <c:v>1.0185206119514463</c:v>
                </c:pt>
                <c:pt idx="6">
                  <c:v>1.0080327189133855</c:v>
                </c:pt>
                <c:pt idx="7">
                  <c:v>1.0063397954030735</c:v>
                </c:pt>
                <c:pt idx="8">
                  <c:v>1.0221381357746697</c:v>
                </c:pt>
                <c:pt idx="9">
                  <c:v>1.0243583120359379</c:v>
                </c:pt>
                <c:pt idx="10">
                  <c:v>1.0307011558795578</c:v>
                </c:pt>
                <c:pt idx="11">
                  <c:v>1.0236871060015866</c:v>
                </c:pt>
                <c:pt idx="12">
                  <c:v>1.0154658970409667</c:v>
                </c:pt>
                <c:pt idx="13">
                  <c:v>1.0377630246677871</c:v>
                </c:pt>
                <c:pt idx="14">
                  <c:v>1.0419100102979084</c:v>
                </c:pt>
                <c:pt idx="15">
                  <c:v>1.0468948312578772</c:v>
                </c:pt>
                <c:pt idx="16">
                  <c:v>1.0418443654106802</c:v>
                </c:pt>
                <c:pt idx="17">
                  <c:v>1.0714106311109328</c:v>
                </c:pt>
                <c:pt idx="18">
                  <c:v>1.0863230320953796</c:v>
                </c:pt>
                <c:pt idx="19">
                  <c:v>1.1029212097402739</c:v>
                </c:pt>
                <c:pt idx="20">
                  <c:v>1.1539839325406147</c:v>
                </c:pt>
                <c:pt idx="21">
                  <c:v>1.1579242678185537</c:v>
                </c:pt>
                <c:pt idx="22">
                  <c:v>1.2150211663380326</c:v>
                </c:pt>
                <c:pt idx="23">
                  <c:v>1.2365639943184585</c:v>
                </c:pt>
                <c:pt idx="24">
                  <c:v>1.2997240565173918</c:v>
                </c:pt>
                <c:pt idx="25">
                  <c:v>1.3501380473674141</c:v>
                </c:pt>
                <c:pt idx="26">
                  <c:v>1.4364142071382502</c:v>
                </c:pt>
                <c:pt idx="27">
                  <c:v>1.5525161311255555</c:v>
                </c:pt>
                <c:pt idx="28">
                  <c:v>1.658657507984723</c:v>
                </c:pt>
                <c:pt idx="29">
                  <c:v>1.788606630110408</c:v>
                </c:pt>
                <c:pt idx="30">
                  <c:v>1.9686572786620997</c:v>
                </c:pt>
                <c:pt idx="31">
                  <c:v>2.1880599420398368</c:v>
                </c:pt>
                <c:pt idx="32">
                  <c:v>2.4255985597304894</c:v>
                </c:pt>
                <c:pt idx="33">
                  <c:v>2.7644597410393259</c:v>
                </c:pt>
                <c:pt idx="34">
                  <c:v>3.1291436496931553</c:v>
                </c:pt>
                <c:pt idx="35">
                  <c:v>3.638320700706533</c:v>
                </c:pt>
                <c:pt idx="36">
                  <c:v>4.2085451497531876</c:v>
                </c:pt>
                <c:pt idx="37">
                  <c:v>4.8947223303272756</c:v>
                </c:pt>
                <c:pt idx="38">
                  <c:v>5.7602441619304647</c:v>
                </c:pt>
                <c:pt idx="39">
                  <c:v>6.8201699496417199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F-47DF-B9B9-413A8D01497F}"/>
            </c:ext>
          </c:extLst>
        </c:ser>
        <c:ser>
          <c:idx val="2"/>
          <c:order val="2"/>
          <c:tx>
            <c:v>3</c:v>
          </c:tx>
          <c:xVal>
            <c:numRef>
              <c:f>Лист1!$A$3:$A$43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Лист1!$Q$3:$Q$43</c:f>
              <c:numCache>
                <c:formatCode>0.000000</c:formatCode>
                <c:ptCount val="41"/>
                <c:pt idx="0">
                  <c:v>1.1843078924389141</c:v>
                </c:pt>
                <c:pt idx="1">
                  <c:v>1.1850968840687734</c:v>
                </c:pt>
                <c:pt idx="2">
                  <c:v>1.2011718962117719</c:v>
                </c:pt>
                <c:pt idx="3">
                  <c:v>1.2034151726359472</c:v>
                </c:pt>
                <c:pt idx="4">
                  <c:v>1.19414698298227</c:v>
                </c:pt>
                <c:pt idx="5">
                  <c:v>1.1728219950928864</c:v>
                </c:pt>
                <c:pt idx="6">
                  <c:v>1.1719163102213006</c:v>
                </c:pt>
                <c:pt idx="7">
                  <c:v>1.1871493696845268</c:v>
                </c:pt>
                <c:pt idx="8">
                  <c:v>1.1916462425612195</c:v>
                </c:pt>
                <c:pt idx="9">
                  <c:v>1.1768940138392827</c:v>
                </c:pt>
                <c:pt idx="10">
                  <c:v>1.1787261162576266</c:v>
                </c:pt>
                <c:pt idx="11">
                  <c:v>1.1730814136076981</c:v>
                </c:pt>
                <c:pt idx="12">
                  <c:v>1.1853145499501683</c:v>
                </c:pt>
                <c:pt idx="13">
                  <c:v>1.1843367235188613</c:v>
                </c:pt>
                <c:pt idx="14">
                  <c:v>1.1848886956269546</c:v>
                </c:pt>
                <c:pt idx="15">
                  <c:v>1.1799521352833906</c:v>
                </c:pt>
                <c:pt idx="16">
                  <c:v>1.1883890539899011</c:v>
                </c:pt>
                <c:pt idx="17">
                  <c:v>1.1769659250553106</c:v>
                </c:pt>
                <c:pt idx="18">
                  <c:v>1.1776828770674976</c:v>
                </c:pt>
                <c:pt idx="19">
                  <c:v>1.1799859866003717</c:v>
                </c:pt>
                <c:pt idx="20">
                  <c:v>1.1971656324065165</c:v>
                </c:pt>
                <c:pt idx="21">
                  <c:v>1.1812673657194579</c:v>
                </c:pt>
                <c:pt idx="22">
                  <c:v>1.1843897724315573</c:v>
                </c:pt>
                <c:pt idx="23">
                  <c:v>1.1882058303359131</c:v>
                </c:pt>
                <c:pt idx="24">
                  <c:v>1.2046934491244055</c:v>
                </c:pt>
                <c:pt idx="25">
                  <c:v>1.220292904971455</c:v>
                </c:pt>
                <c:pt idx="26">
                  <c:v>1.186654437246053</c:v>
                </c:pt>
                <c:pt idx="27">
                  <c:v>1.2041114559830151</c:v>
                </c:pt>
                <c:pt idx="28">
                  <c:v>1.209565720783599</c:v>
                </c:pt>
                <c:pt idx="29">
                  <c:v>1.1862449906427317</c:v>
                </c:pt>
                <c:pt idx="30">
                  <c:v>1.1847999700057992</c:v>
                </c:pt>
                <c:pt idx="31">
                  <c:v>1.1931252398219028</c:v>
                </c:pt>
                <c:pt idx="32">
                  <c:v>1.1991363903692944</c:v>
                </c:pt>
                <c:pt idx="33">
                  <c:v>1.2042522797649897</c:v>
                </c:pt>
                <c:pt idx="34">
                  <c:v>1.1949079091279418</c:v>
                </c:pt>
                <c:pt idx="35">
                  <c:v>1.2033769830782632</c:v>
                </c:pt>
                <c:pt idx="36">
                  <c:v>1.1974311598668532</c:v>
                </c:pt>
                <c:pt idx="37">
                  <c:v>1.2011611701740312</c:v>
                </c:pt>
                <c:pt idx="38">
                  <c:v>1.1885494410419537</c:v>
                </c:pt>
                <c:pt idx="39">
                  <c:v>1.1855136620049227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2F-47DF-B9B9-413A8D01497F}"/>
            </c:ext>
          </c:extLst>
        </c:ser>
        <c:ser>
          <c:idx val="3"/>
          <c:order val="3"/>
          <c:tx>
            <c:v>4</c:v>
          </c:tx>
          <c:marker>
            <c:symbol val="circle"/>
            <c:size val="7"/>
          </c:marker>
          <c:xVal>
            <c:numRef>
              <c:f>Лист1!$A$3:$A$43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Лист1!$R$3:$R$43</c:f>
              <c:numCache>
                <c:formatCode>0.000000</c:formatCode>
                <c:ptCount val="41"/>
                <c:pt idx="0">
                  <c:v>1.0120064257628687</c:v>
                </c:pt>
                <c:pt idx="1">
                  <c:v>1.0106676953587057</c:v>
                </c:pt>
                <c:pt idx="2">
                  <c:v>1.0134826488558102</c:v>
                </c:pt>
                <c:pt idx="3">
                  <c:v>1.0100404709547488</c:v>
                </c:pt>
                <c:pt idx="4">
                  <c:v>1.013735847215586</c:v>
                </c:pt>
                <c:pt idx="5">
                  <c:v>1.0105478595444966</c:v>
                </c:pt>
                <c:pt idx="6">
                  <c:v>1.0179965136759888</c:v>
                </c:pt>
                <c:pt idx="7">
                  <c:v>1.0020513373249815</c:v>
                </c:pt>
                <c:pt idx="8">
                  <c:v>1.0134743221011393</c:v>
                </c:pt>
                <c:pt idx="9">
                  <c:v>1.0171988879865288</c:v>
                </c:pt>
                <c:pt idx="10">
                  <c:v>1.0172935117584654</c:v>
                </c:pt>
                <c:pt idx="11">
                  <c:v>1.0275014200844192</c:v>
                </c:pt>
                <c:pt idx="12">
                  <c:v>1.0112940884255976</c:v>
                </c:pt>
                <c:pt idx="13">
                  <c:v>1.0227269364999034</c:v>
                </c:pt>
                <c:pt idx="14">
                  <c:v>1.0177641749144237</c:v>
                </c:pt>
                <c:pt idx="15">
                  <c:v>1.0114780749445142</c:v>
                </c:pt>
                <c:pt idx="16">
                  <c:v>1.0111533935876984</c:v>
                </c:pt>
                <c:pt idx="17">
                  <c:v>1.0141513570444496</c:v>
                </c:pt>
                <c:pt idx="18">
                  <c:v>1.0234342009493187</c:v>
                </c:pt>
                <c:pt idx="19">
                  <c:v>1.0153218437844673</c:v>
                </c:pt>
                <c:pt idx="20">
                  <c:v>1.0107099831888333</c:v>
                </c:pt>
                <c:pt idx="21">
                  <c:v>1.0030006330273193</c:v>
                </c:pt>
                <c:pt idx="22">
                  <c:v>1.0051014899227559</c:v>
                </c:pt>
                <c:pt idx="23">
                  <c:v>1.0476113890077106</c:v>
                </c:pt>
                <c:pt idx="24">
                  <c:v>1.0220691308162835</c:v>
                </c:pt>
                <c:pt idx="25">
                  <c:v>1.0079507507238505</c:v>
                </c:pt>
                <c:pt idx="26">
                  <c:v>1.0202064430799376</c:v>
                </c:pt>
                <c:pt idx="27">
                  <c:v>1.0362010789360008</c:v>
                </c:pt>
                <c:pt idx="28">
                  <c:v>1.0101584143637359</c:v>
                </c:pt>
                <c:pt idx="29">
                  <c:v>1.0004335962338984</c:v>
                </c:pt>
                <c:pt idx="30">
                  <c:v>1.0208872328747969</c:v>
                </c:pt>
                <c:pt idx="31">
                  <c:v>1.0192682625208271</c:v>
                </c:pt>
                <c:pt idx="32">
                  <c:v>1.0223384531076751</c:v>
                </c:pt>
                <c:pt idx="33">
                  <c:v>1.0148055266365827</c:v>
                </c:pt>
                <c:pt idx="34">
                  <c:v>1.006229989117384</c:v>
                </c:pt>
                <c:pt idx="35">
                  <c:v>1.0300371919487052</c:v>
                </c:pt>
                <c:pt idx="36">
                  <c:v>1.0258564570969515</c:v>
                </c:pt>
                <c:pt idx="37">
                  <c:v>0.99476228436326108</c:v>
                </c:pt>
                <c:pt idx="38">
                  <c:v>1.0194701359837248</c:v>
                </c:pt>
                <c:pt idx="39">
                  <c:v>1.0302255768646158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2F-47DF-B9B9-413A8D01497F}"/>
            </c:ext>
          </c:extLst>
        </c:ser>
        <c:ser>
          <c:idx val="4"/>
          <c:order val="4"/>
          <c:tx>
            <c:v>5</c:v>
          </c:tx>
          <c:marker>
            <c:symbol val="triangle"/>
            <c:size val="7"/>
          </c:marker>
          <c:xVal>
            <c:numRef>
              <c:f>Лист1!$A$3:$A$43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Лист1!$S$3:$S$43</c:f>
              <c:numCache>
                <c:formatCode>0.000000</c:formatCode>
                <c:ptCount val="41"/>
                <c:pt idx="0">
                  <c:v>1.0210259872503575</c:v>
                </c:pt>
                <c:pt idx="1">
                  <c:v>1.0146621808300549</c:v>
                </c:pt>
                <c:pt idx="2">
                  <c:v>0.99889371762003853</c:v>
                </c:pt>
                <c:pt idx="3">
                  <c:v>1.0158367670758834</c:v>
                </c:pt>
                <c:pt idx="4">
                  <c:v>1.0011943414073043</c:v>
                </c:pt>
                <c:pt idx="5">
                  <c:v>1.0068191564494864</c:v>
                </c:pt>
                <c:pt idx="6">
                  <c:v>0.99850911019905664</c:v>
                </c:pt>
                <c:pt idx="7">
                  <c:v>0.99720573723638251</c:v>
                </c:pt>
                <c:pt idx="8">
                  <c:v>0.9906626726105896</c:v>
                </c:pt>
                <c:pt idx="9">
                  <c:v>1.0114438242227257</c:v>
                </c:pt>
                <c:pt idx="10">
                  <c:v>1.003741824250221</c:v>
                </c:pt>
                <c:pt idx="11">
                  <c:v>1.0277898268814663</c:v>
                </c:pt>
                <c:pt idx="12">
                  <c:v>1.0133908793333481</c:v>
                </c:pt>
                <c:pt idx="13">
                  <c:v>1.0072595665868047</c:v>
                </c:pt>
                <c:pt idx="14">
                  <c:v>1.0259750424013194</c:v>
                </c:pt>
                <c:pt idx="15">
                  <c:v>1.0177561073959682</c:v>
                </c:pt>
                <c:pt idx="16">
                  <c:v>1.0223593445376511</c:v>
                </c:pt>
                <c:pt idx="17">
                  <c:v>1.0455744350670153</c:v>
                </c:pt>
                <c:pt idx="18">
                  <c:v>1.0244782887539337</c:v>
                </c:pt>
                <c:pt idx="19">
                  <c:v>1.0343297194474335</c:v>
                </c:pt>
                <c:pt idx="20">
                  <c:v>1.0323168103313742</c:v>
                </c:pt>
                <c:pt idx="21">
                  <c:v>1.0470739237756737</c:v>
                </c:pt>
                <c:pt idx="22">
                  <c:v>1.045721956895336</c:v>
                </c:pt>
                <c:pt idx="23">
                  <c:v>1.0410125510382706</c:v>
                </c:pt>
                <c:pt idx="24">
                  <c:v>1.0743795925625463</c:v>
                </c:pt>
                <c:pt idx="25">
                  <c:v>1.0717973120411659</c:v>
                </c:pt>
                <c:pt idx="26">
                  <c:v>1.0958555178496248</c:v>
                </c:pt>
                <c:pt idx="27">
                  <c:v>1.1063359787936939</c:v>
                </c:pt>
                <c:pt idx="28">
                  <c:v>1.09575054874203</c:v>
                </c:pt>
                <c:pt idx="29">
                  <c:v>1.1374277385135569</c:v>
                </c:pt>
                <c:pt idx="30">
                  <c:v>1.1363447609244282</c:v>
                </c:pt>
                <c:pt idx="31">
                  <c:v>1.1693459694688086</c:v>
                </c:pt>
                <c:pt idx="32">
                  <c:v>1.1922895543072418</c:v>
                </c:pt>
                <c:pt idx="33">
                  <c:v>1.1984747996286385</c:v>
                </c:pt>
                <c:pt idx="34">
                  <c:v>1.2441930254404767</c:v>
                </c:pt>
                <c:pt idx="35">
                  <c:v>1.2673767603829027</c:v>
                </c:pt>
                <c:pt idx="36">
                  <c:v>1.3168374324010832</c:v>
                </c:pt>
                <c:pt idx="37">
                  <c:v>1.3608295413828111</c:v>
                </c:pt>
                <c:pt idx="38">
                  <c:v>1.4159090164174799</c:v>
                </c:pt>
                <c:pt idx="39">
                  <c:v>1.4440725988228627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F-47DF-B9B9-413A8D01497F}"/>
            </c:ext>
          </c:extLst>
        </c:ser>
        <c:ser>
          <c:idx val="7"/>
          <c:order val="5"/>
          <c:tx>
            <c:v>Ориентир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Лист1!$A$3:$A$42</c:f>
              <c:numCache>
                <c:formatCode>0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Лист1!$U$3:$U$42</c:f>
              <c:numCache>
                <c:formatCode>0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2F-47DF-B9B9-413A8D014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01120"/>
        <c:axId val="116103040"/>
      </c:scatterChart>
      <c:valAx>
        <c:axId val="116101120"/>
        <c:scaling>
          <c:orientation val="minMax"/>
          <c:max val="40"/>
        </c:scaling>
        <c:delete val="0"/>
        <c:axPos val="b"/>
        <c:numFmt formatCode="0" sourceLinked="0"/>
        <c:majorTickMark val="out"/>
        <c:minorTickMark val="none"/>
        <c:tickLblPos val="nextTo"/>
        <c:crossAx val="116103040"/>
        <c:crosses val="autoZero"/>
        <c:crossBetween val="midCat"/>
        <c:majorUnit val="1"/>
        <c:minorUnit val="1"/>
      </c:valAx>
      <c:valAx>
        <c:axId val="116103040"/>
        <c:scaling>
          <c:orientation val="minMax"/>
          <c:max val="2"/>
          <c:min val="0.8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16101120"/>
        <c:crosses val="autoZero"/>
        <c:crossBetween val="midCat"/>
        <c:minorUnit val="1.0000000000000002E-3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9</xdr:row>
      <xdr:rowOff>180975</xdr:rowOff>
    </xdr:from>
    <xdr:to>
      <xdr:col>18</xdr:col>
      <xdr:colOff>247650</xdr:colOff>
      <xdr:row>41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3"/>
  <sheetViews>
    <sheetView tabSelected="1" topLeftCell="AA17" workbookViewId="0">
      <selection activeCell="AL35" sqref="AL35"/>
    </sheetView>
  </sheetViews>
  <sheetFormatPr defaultRowHeight="15.6" x14ac:dyDescent="0.3"/>
  <cols>
    <col min="1" max="1" width="9.3984375" bestFit="1" customWidth="1"/>
    <col min="2" max="2" width="4.5" customWidth="1"/>
    <col min="3" max="7" width="9.09765625" bestFit="1" customWidth="1"/>
    <col min="8" max="8" width="5" customWidth="1"/>
    <col min="9" max="13" width="9.09765625" bestFit="1" customWidth="1"/>
    <col min="14" max="14" width="3.8984375" customWidth="1"/>
    <col min="15" max="18" width="9.09765625" bestFit="1" customWidth="1"/>
    <col min="19" max="19" width="10.59765625" customWidth="1"/>
    <col min="20" max="20" width="3.69921875" customWidth="1"/>
    <col min="21" max="21" width="21.69921875" customWidth="1"/>
    <col min="22" max="22" width="3.5" customWidth="1"/>
    <col min="23" max="27" width="9.09765625" bestFit="1" customWidth="1"/>
    <col min="28" max="28" width="4.59765625" customWidth="1"/>
    <col min="29" max="30" width="9.3984375" bestFit="1" customWidth="1"/>
    <col min="31" max="31" width="12" bestFit="1" customWidth="1"/>
    <col min="32" max="33" width="9.3984375" bestFit="1" customWidth="1"/>
    <col min="34" max="34" width="3.8984375" customWidth="1"/>
    <col min="35" max="35" width="10.5" customWidth="1"/>
    <col min="36" max="36" width="4.8984375" customWidth="1"/>
    <col min="37" max="37" width="9.09765625" bestFit="1" customWidth="1"/>
    <col min="38" max="38" width="12" bestFit="1" customWidth="1"/>
    <col min="39" max="40" width="9.09765625" bestFit="1" customWidth="1"/>
    <col min="41" max="41" width="9.09765625" customWidth="1"/>
    <col min="42" max="42" width="9.3984375" bestFit="1" customWidth="1"/>
    <col min="43" max="46" width="9.09765625" bestFit="1" customWidth="1"/>
    <col min="47" max="47" width="4.5" customWidth="1"/>
    <col min="48" max="51" width="9.09765625" bestFit="1" customWidth="1"/>
  </cols>
  <sheetData>
    <row r="1" spans="1:51" ht="46.8" x14ac:dyDescent="0.3">
      <c r="A1" s="6" t="s">
        <v>0</v>
      </c>
      <c r="C1" s="6" t="s">
        <v>4</v>
      </c>
      <c r="D1" s="6"/>
      <c r="E1" s="6"/>
      <c r="F1" s="6"/>
      <c r="G1" s="6"/>
      <c r="I1" s="6" t="s">
        <v>2</v>
      </c>
      <c r="J1" s="6"/>
      <c r="K1" s="6"/>
      <c r="L1" s="6"/>
      <c r="M1" s="6"/>
      <c r="O1" s="6" t="s">
        <v>9</v>
      </c>
      <c r="P1" s="6"/>
      <c r="Q1" s="6"/>
      <c r="R1" s="6"/>
      <c r="S1" s="6"/>
      <c r="U1" s="11" t="s">
        <v>10</v>
      </c>
      <c r="V1" s="2"/>
      <c r="W1" s="11" t="s">
        <v>11</v>
      </c>
      <c r="X1" s="6"/>
      <c r="Y1" s="6"/>
      <c r="Z1" s="6"/>
      <c r="AA1" s="6"/>
      <c r="AC1" s="11" t="s">
        <v>6</v>
      </c>
      <c r="AD1" s="12"/>
      <c r="AE1" s="12"/>
      <c r="AF1" s="12"/>
      <c r="AG1" s="12"/>
      <c r="AH1" s="1"/>
      <c r="AI1" s="13" t="s">
        <v>5</v>
      </c>
      <c r="AK1" s="11" t="s">
        <v>7</v>
      </c>
      <c r="AL1" s="6"/>
      <c r="AM1" s="6"/>
      <c r="AN1" s="6"/>
      <c r="AO1" s="6"/>
      <c r="AQ1" s="6" t="s">
        <v>1</v>
      </c>
      <c r="AR1" s="6"/>
      <c r="AS1" s="6"/>
      <c r="AT1" s="6"/>
      <c r="AV1" s="6" t="s">
        <v>8</v>
      </c>
      <c r="AW1" s="6"/>
      <c r="AX1" s="6"/>
      <c r="AY1" s="6"/>
    </row>
    <row r="2" spans="1:51" x14ac:dyDescent="0.3">
      <c r="C2" s="1" t="s">
        <v>3</v>
      </c>
      <c r="D2" s="1">
        <v>2</v>
      </c>
      <c r="E2" s="1">
        <v>3</v>
      </c>
      <c r="F2" s="1">
        <v>4</v>
      </c>
      <c r="G2" s="1">
        <v>5</v>
      </c>
      <c r="I2" s="1" t="s">
        <v>3</v>
      </c>
      <c r="J2" s="1">
        <v>2</v>
      </c>
      <c r="K2" s="1">
        <v>3</v>
      </c>
      <c r="L2" s="1">
        <v>4</v>
      </c>
      <c r="M2" s="1">
        <v>5</v>
      </c>
      <c r="O2" s="1" t="s">
        <v>3</v>
      </c>
      <c r="P2" s="1">
        <v>2</v>
      </c>
      <c r="Q2" s="1">
        <v>3</v>
      </c>
      <c r="R2" s="1">
        <v>4</v>
      </c>
      <c r="S2" s="1">
        <v>5</v>
      </c>
      <c r="T2" s="1"/>
      <c r="U2" s="2"/>
      <c r="V2" s="2"/>
      <c r="W2" s="1" t="s">
        <v>3</v>
      </c>
      <c r="X2" s="1">
        <v>2</v>
      </c>
      <c r="Y2" s="1">
        <v>3</v>
      </c>
      <c r="Z2" s="1">
        <v>4</v>
      </c>
      <c r="AA2" s="1">
        <v>5</v>
      </c>
      <c r="AB2" s="1"/>
      <c r="AC2" s="1" t="s">
        <v>3</v>
      </c>
      <c r="AD2" s="1">
        <v>2</v>
      </c>
      <c r="AE2" s="1">
        <v>3</v>
      </c>
      <c r="AF2" s="1">
        <v>4</v>
      </c>
      <c r="AG2" s="1">
        <v>5</v>
      </c>
      <c r="AH2" s="4"/>
      <c r="AI2" s="5"/>
      <c r="AK2" s="1">
        <v>2</v>
      </c>
      <c r="AL2" s="1">
        <v>3</v>
      </c>
      <c r="AM2" s="1">
        <v>4</v>
      </c>
      <c r="AN2" s="1">
        <v>5</v>
      </c>
      <c r="AO2" s="1"/>
      <c r="AQ2" s="1">
        <v>2</v>
      </c>
      <c r="AR2" s="1">
        <v>3</v>
      </c>
      <c r="AS2" s="1">
        <v>4</v>
      </c>
      <c r="AT2" s="1">
        <v>5</v>
      </c>
      <c r="AU2" s="1"/>
      <c r="AV2" s="1">
        <v>2</v>
      </c>
      <c r="AW2" s="1">
        <v>3</v>
      </c>
      <c r="AX2" s="1">
        <v>4</v>
      </c>
      <c r="AY2" s="1">
        <v>5</v>
      </c>
    </row>
    <row r="3" spans="1:51" s="7" customFormat="1" x14ac:dyDescent="0.3">
      <c r="A3" s="10">
        <v>0</v>
      </c>
      <c r="C3" s="7">
        <f>0.0313*EXP(0.1137*A3+0.007)+0.0029</f>
        <v>3.4419868642452361E-2</v>
      </c>
      <c r="D3" s="7">
        <f>0.0022*EXP(0.2*A3+0.0806)+0.0058</f>
        <v>8.1846619168817279E-3</v>
      </c>
      <c r="E3" s="7">
        <f>0.135*EXP(0.0017*A3+0.26)+0.0073</f>
        <v>0.18238556169987921</v>
      </c>
      <c r="F3" s="7">
        <f>0.0023*EXP(0.0021*A3+0.0064)+0.0143</f>
        <v>1.6614767204649522E-2</v>
      </c>
      <c r="G3" s="7">
        <f>0.0021*EXP(0.1352*A3+0.1225)+0.0034</f>
        <v>5.7736701521554227E-3</v>
      </c>
      <c r="I3">
        <v>1.6432863958470989E-3</v>
      </c>
      <c r="J3">
        <v>3.3199853533005808E-3</v>
      </c>
      <c r="K3">
        <v>1.9223307390348054E-3</v>
      </c>
      <c r="L3">
        <v>-4.6083414417807944E-3</v>
      </c>
      <c r="M3">
        <v>1.5252317098202184E-2</v>
      </c>
      <c r="O3" s="7">
        <f>1+C3+I3</f>
        <v>1.0360631550382995</v>
      </c>
      <c r="P3" s="7">
        <f t="shared" ref="P3:S18" si="0">1+D3+J3</f>
        <v>1.0115046472701823</v>
      </c>
      <c r="Q3" s="7">
        <f t="shared" si="0"/>
        <v>1.1843078924389141</v>
      </c>
      <c r="R3" s="7">
        <f t="shared" si="0"/>
        <v>1.0120064257628687</v>
      </c>
      <c r="S3" s="7">
        <f t="shared" si="0"/>
        <v>1.0210259872503575</v>
      </c>
      <c r="U3" s="10">
        <v>1</v>
      </c>
      <c r="W3" s="7">
        <f>SQRT((O3-U3)^2)</f>
        <v>3.6063155038299488E-2</v>
      </c>
      <c r="X3" s="7">
        <f>SQRT((P3-$U3)^2)</f>
        <v>1.15046472701823E-2</v>
      </c>
      <c r="Y3" s="7">
        <f>SQRT((Q3-$U3)^2)</f>
        <v>0.1843078924389141</v>
      </c>
      <c r="Z3" s="7">
        <f>SQRT((R3-$U3)^2)</f>
        <v>1.20064257628687E-2</v>
      </c>
      <c r="AA3" s="8">
        <f>SQRT((S3-$U3)^2)</f>
        <v>2.1025987250357536E-2</v>
      </c>
      <c r="AC3" s="7">
        <f>NORMDIST(W3,$W3,0.01,0)</f>
        <v>39.894228040143268</v>
      </c>
      <c r="AD3" s="7">
        <f>NORMDIST(X3,$W3,0.01,0)</f>
        <v>1.9554691396896564</v>
      </c>
      <c r="AE3" s="7">
        <f>NORMDIST(Y3,$W3,0.01,0)</f>
        <v>7.5777793017028595E-47</v>
      </c>
      <c r="AF3" s="7">
        <f>NORMDIST(Z3,$W3,0.01,0)</f>
        <v>2.209133894173307</v>
      </c>
      <c r="AG3" s="8">
        <f>NORMDIST(AA3,$W3,0.01,0)</f>
        <v>12.879663278615297</v>
      </c>
      <c r="AH3" s="8"/>
      <c r="AI3" s="9">
        <f>SUM(AD3:AG3)</f>
        <v>17.044266312478261</v>
      </c>
      <c r="AK3" s="7">
        <f>AD3/$AI3</f>
        <v>0.11472885390543563</v>
      </c>
      <c r="AL3" s="7">
        <f>AE3/$AI3</f>
        <v>4.4459404486980464E-48</v>
      </c>
      <c r="AM3" s="7">
        <f>AF3/$AI3</f>
        <v>0.12961155697009852</v>
      </c>
      <c r="AN3" s="7">
        <f>AG3/$AI3</f>
        <v>0.75565958912446585</v>
      </c>
      <c r="AP3" s="10">
        <v>0</v>
      </c>
      <c r="AQ3" s="7">
        <f>1-(1-AK3)^4</f>
        <v>0.38580646967155252</v>
      </c>
      <c r="AR3" s="7">
        <f t="shared" ref="AR3:AT18" si="1">1-(1-AL3)^4</f>
        <v>0</v>
      </c>
      <c r="AS3" s="7">
        <f t="shared" si="1"/>
        <v>0.42607854095122644</v>
      </c>
      <c r="AT3" s="8">
        <f t="shared" si="1"/>
        <v>0.99643564297041165</v>
      </c>
    </row>
    <row r="4" spans="1:51" s="7" customFormat="1" x14ac:dyDescent="0.3">
      <c r="A4" s="10">
        <v>1</v>
      </c>
      <c r="C4" s="7">
        <f t="shared" ref="C4:C42" si="2">0.0313*EXP(0.1137*A4+0.007)+0.0029</f>
        <v>3.8215363558679973E-2</v>
      </c>
      <c r="D4" s="7">
        <f t="shared" ref="D4:D42" si="3">0.0022*EXP(0.2*A4+0.0806)+0.0058</f>
        <v>8.71263264255886E-3</v>
      </c>
      <c r="E4" s="7">
        <f t="shared" ref="E4:E42" si="4">0.135*EXP(0.0017*A4+0.26)+0.0073</f>
        <v>0.18268346029683252</v>
      </c>
      <c r="F4" s="7">
        <f t="shared" ref="F4:F42" si="5">0.0023*EXP(0.0021*A4+0.0064)+0.0143</f>
        <v>1.6619633323415692E-2</v>
      </c>
      <c r="G4" s="7">
        <f t="shared" ref="G4:G42" si="6">0.0021*EXP(0.1352*A4+0.1225)+0.0034</f>
        <v>6.1172962079579533E-3</v>
      </c>
      <c r="I4">
        <v>-2.3730899556539953E-2</v>
      </c>
      <c r="J4">
        <v>7.8448920248774812E-3</v>
      </c>
      <c r="K4">
        <v>2.4134237719408702E-3</v>
      </c>
      <c r="L4">
        <v>-5.9519379647099413E-3</v>
      </c>
      <c r="M4">
        <v>8.5448846220970154E-3</v>
      </c>
      <c r="O4" s="7">
        <f t="shared" ref="O4:S42" si="7">1+C4+I4</f>
        <v>1.01448446400214</v>
      </c>
      <c r="P4" s="7">
        <f t="shared" si="0"/>
        <v>1.0165575246674363</v>
      </c>
      <c r="Q4" s="7">
        <f t="shared" si="0"/>
        <v>1.1850968840687734</v>
      </c>
      <c r="R4" s="7">
        <f t="shared" si="0"/>
        <v>1.0106676953587057</v>
      </c>
      <c r="S4" s="7">
        <f t="shared" si="0"/>
        <v>1.0146621808300549</v>
      </c>
      <c r="U4" s="10">
        <v>1</v>
      </c>
      <c r="W4" s="7">
        <f t="shared" ref="W4:W42" si="8">SQRT((O4-U4)^2)</f>
        <v>1.4484464002139985E-2</v>
      </c>
      <c r="X4" s="7">
        <f t="shared" ref="X4:X42" si="9">SQRT((P4-$U4)^2)</f>
        <v>1.6557524667436319E-2</v>
      </c>
      <c r="Y4" s="7">
        <f t="shared" ref="Y4:Y42" si="10">SQRT((Q4-$U4)^2)</f>
        <v>0.18509688406877345</v>
      </c>
      <c r="Z4" s="7">
        <f t="shared" ref="Z4:Z42" si="11">SQRT((R4-$U4)^2)</f>
        <v>1.0667695358705709E-2</v>
      </c>
      <c r="AA4" s="8">
        <f t="shared" ref="AA4:AA42" si="12">SQRT((S4-$U4)^2)</f>
        <v>1.4662180830054883E-2</v>
      </c>
      <c r="AC4" s="7">
        <f t="shared" ref="AC4:AC42" si="13">NORMDIST(W4,$W4,0.01,0)</f>
        <v>39.894228040143268</v>
      </c>
      <c r="AD4" s="7">
        <f t="shared" ref="AD4:AD42" si="14">NORMDIST(X4,$W4,0.01,0)</f>
        <v>39.046129317161871</v>
      </c>
      <c r="AE4" s="7">
        <f t="shared" ref="AE4:AE42" si="15">NORMDIST(Y4,$W4,0.01,0)</f>
        <v>2.4682712663802607E-62</v>
      </c>
      <c r="AF4" s="7">
        <f t="shared" ref="AF4:AF42" si="16">NORMDIST(Z4,$W4,0.01,0)</f>
        <v>37.0916930819551</v>
      </c>
      <c r="AG4" s="8">
        <f t="shared" ref="AG4:AG42" si="17">NORMDIST(AA4,$W4,0.01,0)</f>
        <v>39.887928586487234</v>
      </c>
      <c r="AH4" s="8"/>
      <c r="AI4" s="9">
        <f t="shared" ref="AI4:AI42" si="18">SUM(AD4:AG4)</f>
        <v>116.0257509856042</v>
      </c>
      <c r="AK4" s="7">
        <f t="shared" ref="AK4:AK42" si="19">AD4/$AI4</f>
        <v>0.33652985639374561</v>
      </c>
      <c r="AL4" s="7">
        <f t="shared" ref="AL4:AL42" si="20">AE4/$AI4</f>
        <v>2.1273478046149508E-64</v>
      </c>
      <c r="AM4" s="7">
        <f t="shared" ref="AM4:AM42" si="21">AF4/$AI4</f>
        <v>0.31968500756833901</v>
      </c>
      <c r="AN4" s="7">
        <f t="shared" ref="AN4:AN42" si="22">AG4/$AI4</f>
        <v>0.34378513603791538</v>
      </c>
      <c r="AP4" s="10">
        <v>1</v>
      </c>
      <c r="AQ4" s="7">
        <f t="shared" ref="AQ4:AT42" si="23">1-(1-AK4)^4</f>
        <v>0.80623044721104642</v>
      </c>
      <c r="AR4" s="7">
        <f t="shared" si="1"/>
        <v>0</v>
      </c>
      <c r="AS4" s="7">
        <f t="shared" si="1"/>
        <v>0.78578978983728054</v>
      </c>
      <c r="AT4" s="8">
        <f t="shared" si="1"/>
        <v>0.81456818313175039</v>
      </c>
      <c r="AV4" s="7">
        <f>IF(AQ4&lt;0.3,0,AQ4)</f>
        <v>0.80623044721104642</v>
      </c>
      <c r="AW4" s="7">
        <f t="shared" ref="AW4:AY19" si="24">IF(AR4&lt;0.3,0,AR4)</f>
        <v>0</v>
      </c>
      <c r="AX4" s="7">
        <f t="shared" si="24"/>
        <v>0.78578978983728054</v>
      </c>
      <c r="AY4" s="7">
        <f t="shared" si="24"/>
        <v>0.81456818313175039</v>
      </c>
    </row>
    <row r="5" spans="1:51" s="7" customFormat="1" x14ac:dyDescent="0.3">
      <c r="A5" s="10">
        <v>2</v>
      </c>
      <c r="C5" s="7">
        <f t="shared" si="2"/>
        <v>4.2467896599733629E-2</v>
      </c>
      <c r="D5" s="7">
        <f t="shared" si="3"/>
        <v>9.3574975431287358E-3</v>
      </c>
      <c r="E5" s="7">
        <f t="shared" si="4"/>
        <v>0.18298186575210812</v>
      </c>
      <c r="F5" s="7">
        <f t="shared" si="5"/>
        <v>1.6624509671768577E-2</v>
      </c>
      <c r="G5" s="7">
        <f t="shared" si="6"/>
        <v>6.51066753528407E-3</v>
      </c>
      <c r="I5">
        <v>-1.0995790944434702E-3</v>
      </c>
      <c r="J5">
        <v>-4.8375568439951167E-3</v>
      </c>
      <c r="K5">
        <v>1.8190030459663831E-2</v>
      </c>
      <c r="L5">
        <v>-3.1418608159583528E-3</v>
      </c>
      <c r="M5">
        <v>-7.616949915245641E-3</v>
      </c>
      <c r="O5" s="7">
        <f t="shared" si="7"/>
        <v>1.0413683175052901</v>
      </c>
      <c r="P5" s="7">
        <f t="shared" si="0"/>
        <v>1.0045199406991336</v>
      </c>
      <c r="Q5" s="7">
        <f t="shared" si="0"/>
        <v>1.2011718962117719</v>
      </c>
      <c r="R5" s="7">
        <f t="shared" si="0"/>
        <v>1.0134826488558102</v>
      </c>
      <c r="S5" s="7">
        <f t="shared" si="0"/>
        <v>0.99889371762003853</v>
      </c>
      <c r="U5" s="10">
        <v>1</v>
      </c>
      <c r="W5" s="7">
        <f t="shared" si="8"/>
        <v>4.1368317505290131E-2</v>
      </c>
      <c r="X5" s="7">
        <f t="shared" si="9"/>
        <v>4.5199406991336399E-3</v>
      </c>
      <c r="Y5" s="7">
        <f t="shared" si="10"/>
        <v>0.20117189621177189</v>
      </c>
      <c r="Z5" s="7">
        <f t="shared" si="11"/>
        <v>1.3482648855810186E-2</v>
      </c>
      <c r="AA5" s="8">
        <f t="shared" si="12"/>
        <v>1.1062823799614652E-3</v>
      </c>
      <c r="AC5" s="7">
        <f t="shared" si="13"/>
        <v>39.894228040143268</v>
      </c>
      <c r="AD5" s="7">
        <f t="shared" si="14"/>
        <v>4.4924017629183209E-2</v>
      </c>
      <c r="AE5" s="7">
        <f t="shared" si="15"/>
        <v>1.404818113003372E-54</v>
      </c>
      <c r="AF5" s="7">
        <f t="shared" si="16"/>
        <v>0.81724126039018041</v>
      </c>
      <c r="AG5" s="8">
        <f t="shared" si="17"/>
        <v>1.2047167494398275E-2</v>
      </c>
      <c r="AH5" s="8"/>
      <c r="AI5" s="9">
        <f t="shared" si="18"/>
        <v>0.87421244551376187</v>
      </c>
      <c r="AK5" s="7">
        <f t="shared" si="19"/>
        <v>5.1387986821420761E-2</v>
      </c>
      <c r="AL5" s="7">
        <f t="shared" si="20"/>
        <v>1.606952772421103E-54</v>
      </c>
      <c r="AM5" s="7">
        <f t="shared" si="21"/>
        <v>0.93483141836295836</v>
      </c>
      <c r="AN5" s="7">
        <f t="shared" si="22"/>
        <v>1.3780594815620969E-2</v>
      </c>
      <c r="AP5" s="10">
        <v>2</v>
      </c>
      <c r="AQ5" s="7">
        <f t="shared" si="23"/>
        <v>0.19024342892376533</v>
      </c>
      <c r="AR5" s="7">
        <f t="shared" si="1"/>
        <v>0</v>
      </c>
      <c r="AS5" s="7">
        <f t="shared" si="1"/>
        <v>0.99998196346638413</v>
      </c>
      <c r="AT5" s="8">
        <f t="shared" si="1"/>
        <v>5.3993382441868909E-2</v>
      </c>
      <c r="AV5" s="7">
        <f t="shared" ref="AV5:AX41" si="25">IF(AQ5&lt;0.3,0,AQ5)</f>
        <v>0</v>
      </c>
      <c r="AW5" s="7">
        <f t="shared" si="24"/>
        <v>0</v>
      </c>
      <c r="AX5" s="7">
        <f t="shared" si="24"/>
        <v>0.99998196346638413</v>
      </c>
      <c r="AY5" s="7">
        <f t="shared" si="24"/>
        <v>0</v>
      </c>
    </row>
    <row r="6" spans="1:51" s="7" customFormat="1" x14ac:dyDescent="0.3">
      <c r="A6" s="10">
        <v>3</v>
      </c>
      <c r="C6" s="7">
        <f t="shared" si="2"/>
        <v>4.7232502445452157E-2</v>
      </c>
      <c r="D6" s="7">
        <f t="shared" si="3"/>
        <v>1.0145137311325466E-2</v>
      </c>
      <c r="E6" s="7">
        <f t="shared" si="4"/>
        <v>0.18328077892809805</v>
      </c>
      <c r="F6" s="7">
        <f t="shared" si="5"/>
        <v>1.6629396271212883E-2</v>
      </c>
      <c r="G6" s="7">
        <f t="shared" si="6"/>
        <v>6.9609855439138786E-3</v>
      </c>
      <c r="I6">
        <v>5.0536868911876809E-3</v>
      </c>
      <c r="J6">
        <v>-5.1748770601989236E-3</v>
      </c>
      <c r="K6">
        <v>2.0134393707849085E-2</v>
      </c>
      <c r="L6">
        <v>-6.5889253164641559E-3</v>
      </c>
      <c r="M6">
        <v>8.875781531969551E-3</v>
      </c>
      <c r="O6" s="7">
        <f t="shared" si="7"/>
        <v>1.0522861893366398</v>
      </c>
      <c r="P6" s="7">
        <f t="shared" si="0"/>
        <v>1.0049702602511266</v>
      </c>
      <c r="Q6" s="7">
        <f t="shared" si="0"/>
        <v>1.2034151726359472</v>
      </c>
      <c r="R6" s="7">
        <f t="shared" si="0"/>
        <v>1.0100404709547488</v>
      </c>
      <c r="S6" s="7">
        <f t="shared" si="0"/>
        <v>1.0158367670758834</v>
      </c>
      <c r="U6" s="10">
        <v>1</v>
      </c>
      <c r="W6" s="7">
        <f t="shared" si="8"/>
        <v>5.2286189336639755E-2</v>
      </c>
      <c r="X6" s="7">
        <f t="shared" si="9"/>
        <v>4.9702602511265681E-3</v>
      </c>
      <c r="Y6" s="7">
        <f t="shared" si="10"/>
        <v>0.20341517263594722</v>
      </c>
      <c r="Z6" s="7">
        <f t="shared" si="11"/>
        <v>1.0040470954748804E-2</v>
      </c>
      <c r="AA6" s="8">
        <f t="shared" si="12"/>
        <v>1.583676707588344E-2</v>
      </c>
      <c r="AC6" s="7">
        <f t="shared" si="13"/>
        <v>39.894228040143268</v>
      </c>
      <c r="AD6" s="7">
        <f t="shared" si="14"/>
        <v>5.4881229776313346E-4</v>
      </c>
      <c r="AE6" s="7">
        <f t="shared" si="15"/>
        <v>1.0105231338679827E-48</v>
      </c>
      <c r="AF6" s="7">
        <f t="shared" si="16"/>
        <v>5.3147359146360996E-3</v>
      </c>
      <c r="AG6" s="8">
        <f t="shared" si="17"/>
        <v>5.1996947558009911E-2</v>
      </c>
      <c r="AH6" s="8"/>
      <c r="AI6" s="9">
        <f t="shared" si="18"/>
        <v>5.7860495770409144E-2</v>
      </c>
      <c r="AK6" s="7">
        <f t="shared" si="19"/>
        <v>9.4850949763863844E-3</v>
      </c>
      <c r="AL6" s="7">
        <f t="shared" si="20"/>
        <v>1.7464819829365888E-47</v>
      </c>
      <c r="AM6" s="7">
        <f t="shared" si="21"/>
        <v>9.1854309989409855E-2</v>
      </c>
      <c r="AN6" s="7">
        <f t="shared" si="22"/>
        <v>0.8986605950342037</v>
      </c>
      <c r="AP6" s="10">
        <v>3</v>
      </c>
      <c r="AQ6" s="7">
        <f t="shared" si="23"/>
        <v>3.7403983034385635E-2</v>
      </c>
      <c r="AR6" s="7">
        <f t="shared" si="1"/>
        <v>0</v>
      </c>
      <c r="AS6" s="7">
        <f t="shared" si="1"/>
        <v>0.31982274576899949</v>
      </c>
      <c r="AT6" s="8">
        <f t="shared" si="1"/>
        <v>0.99989453377541859</v>
      </c>
      <c r="AV6" s="7">
        <f t="shared" si="25"/>
        <v>0</v>
      </c>
      <c r="AW6" s="7">
        <f t="shared" si="24"/>
        <v>0</v>
      </c>
      <c r="AX6" s="7">
        <f t="shared" si="24"/>
        <v>0.31982274576899949</v>
      </c>
      <c r="AY6" s="7">
        <f t="shared" si="24"/>
        <v>0.99989453377541859</v>
      </c>
    </row>
    <row r="7" spans="1:51" s="20" customFormat="1" x14ac:dyDescent="0.3">
      <c r="A7" s="19">
        <v>4</v>
      </c>
      <c r="C7" s="20">
        <f t="shared" si="2"/>
        <v>5.2570842828912279E-2</v>
      </c>
      <c r="D7" s="20">
        <f t="shared" si="3"/>
        <v>1.1107162696637588E-2</v>
      </c>
      <c r="E7" s="20">
        <f t="shared" si="4"/>
        <v>0.18358020068866154</v>
      </c>
      <c r="F7" s="20">
        <f t="shared" si="5"/>
        <v>1.663429314329852E-2</v>
      </c>
      <c r="G7" s="20">
        <f t="shared" si="6"/>
        <v>7.4764941608604311E-3</v>
      </c>
      <c r="I7" s="21">
        <v>-2.707711246330291E-2</v>
      </c>
      <c r="J7" s="21">
        <v>-1.6339868125214707E-3</v>
      </c>
      <c r="K7" s="21">
        <v>1.0566782293608412E-2</v>
      </c>
      <c r="L7" s="21">
        <v>-2.8984459277126007E-3</v>
      </c>
      <c r="M7" s="21">
        <v>-6.2821527535561472E-3</v>
      </c>
      <c r="O7" s="20">
        <f t="shared" si="7"/>
        <v>1.0254937303656093</v>
      </c>
      <c r="P7" s="20">
        <f t="shared" si="0"/>
        <v>1.0094731758841162</v>
      </c>
      <c r="Q7" s="20">
        <f t="shared" si="0"/>
        <v>1.19414698298227</v>
      </c>
      <c r="R7" s="20">
        <f t="shared" si="0"/>
        <v>1.013735847215586</v>
      </c>
      <c r="S7" s="20">
        <f t="shared" si="0"/>
        <v>1.0011943414073043</v>
      </c>
      <c r="U7" s="19">
        <v>1</v>
      </c>
      <c r="W7" s="20">
        <f t="shared" si="8"/>
        <v>2.5493730365609313E-2</v>
      </c>
      <c r="X7" s="20">
        <f t="shared" si="9"/>
        <v>9.473175884116225E-3</v>
      </c>
      <c r="Y7" s="20">
        <f t="shared" si="10"/>
        <v>0.19414698298226996</v>
      </c>
      <c r="Z7" s="20">
        <f t="shared" si="11"/>
        <v>1.3735847215585961E-2</v>
      </c>
      <c r="AA7" s="22">
        <f t="shared" si="12"/>
        <v>1.1943414073043446E-3</v>
      </c>
      <c r="AC7" s="20">
        <f t="shared" si="13"/>
        <v>39.894228040143268</v>
      </c>
      <c r="AD7" s="20">
        <f t="shared" si="14"/>
        <v>11.055641308112973</v>
      </c>
      <c r="AE7" s="20">
        <f t="shared" si="15"/>
        <v>6.8505177579809611E-61</v>
      </c>
      <c r="AF7" s="25">
        <f t="shared" si="16"/>
        <v>19.98521143786423</v>
      </c>
      <c r="AG7" s="22">
        <f t="shared" si="17"/>
        <v>2.0832519994382128</v>
      </c>
      <c r="AH7" s="22"/>
      <c r="AI7" s="23">
        <f t="shared" si="18"/>
        <v>33.124104745415416</v>
      </c>
      <c r="AK7" s="20">
        <f t="shared" si="19"/>
        <v>0.3337642297983357</v>
      </c>
      <c r="AL7" s="20">
        <f t="shared" si="20"/>
        <v>2.0681367272059226E-62</v>
      </c>
      <c r="AM7" s="20">
        <f t="shared" si="21"/>
        <v>0.60334344404071205</v>
      </c>
      <c r="AN7" s="20">
        <f t="shared" si="22"/>
        <v>6.2892326160952264E-2</v>
      </c>
      <c r="AP7" s="19">
        <v>4</v>
      </c>
      <c r="AQ7" s="20">
        <f t="shared" si="23"/>
        <v>0.80297933299774871</v>
      </c>
      <c r="AR7" s="20">
        <f t="shared" si="1"/>
        <v>0</v>
      </c>
      <c r="AS7" s="20">
        <f t="shared" si="1"/>
        <v>0.97524524987626382</v>
      </c>
      <c r="AT7" s="22">
        <f t="shared" si="1"/>
        <v>0.22881605943170469</v>
      </c>
      <c r="AV7" s="20">
        <f t="shared" si="25"/>
        <v>0.80297933299774871</v>
      </c>
      <c r="AW7" s="20">
        <f t="shared" si="24"/>
        <v>0</v>
      </c>
      <c r="AX7" s="20">
        <f t="shared" si="24"/>
        <v>0.97524524987626382</v>
      </c>
      <c r="AY7" s="20">
        <f t="shared" si="24"/>
        <v>0</v>
      </c>
    </row>
    <row r="8" spans="1:51" s="7" customFormat="1" x14ac:dyDescent="0.3">
      <c r="A8" s="10">
        <v>5</v>
      </c>
      <c r="C8" s="7">
        <f t="shared" si="2"/>
        <v>5.8552004539337774E-2</v>
      </c>
      <c r="D8" s="7">
        <f t="shared" si="3"/>
        <v>1.2282183155677915E-2</v>
      </c>
      <c r="E8" s="7">
        <f t="shared" si="4"/>
        <v>0.18388013189912775</v>
      </c>
      <c r="F8" s="7">
        <f t="shared" si="5"/>
        <v>1.66392003096207E-2</v>
      </c>
      <c r="G8" s="7">
        <f t="shared" si="6"/>
        <v>8.0666307511219389E-3</v>
      </c>
      <c r="I8">
        <v>-7.3477394835208543E-3</v>
      </c>
      <c r="J8">
        <v>6.2384287957684137E-3</v>
      </c>
      <c r="K8">
        <v>-1.1058136806241237E-2</v>
      </c>
      <c r="L8">
        <v>-6.0913407651241869E-3</v>
      </c>
      <c r="M8">
        <v>-1.2474743016355205E-3</v>
      </c>
      <c r="O8" s="7">
        <f t="shared" si="7"/>
        <v>1.0512042650558169</v>
      </c>
      <c r="P8" s="7">
        <f t="shared" si="0"/>
        <v>1.0185206119514463</v>
      </c>
      <c r="Q8" s="7">
        <f t="shared" si="0"/>
        <v>1.1728219950928864</v>
      </c>
      <c r="R8" s="7">
        <f t="shared" si="0"/>
        <v>1.0105478595444966</v>
      </c>
      <c r="S8" s="7">
        <f t="shared" si="0"/>
        <v>1.0068191564494864</v>
      </c>
      <c r="U8" s="10">
        <v>1</v>
      </c>
      <c r="W8" s="7">
        <f t="shared" si="8"/>
        <v>5.1204265055816878E-2</v>
      </c>
      <c r="X8" s="7">
        <f t="shared" si="9"/>
        <v>1.8520611951446275E-2</v>
      </c>
      <c r="Y8" s="7">
        <f t="shared" si="10"/>
        <v>0.17282199509288643</v>
      </c>
      <c r="Z8" s="7">
        <f t="shared" si="11"/>
        <v>1.0547859544496552E-2</v>
      </c>
      <c r="AA8" s="8">
        <f t="shared" si="12"/>
        <v>6.8191564494863854E-3</v>
      </c>
      <c r="AC8" s="7">
        <f t="shared" si="13"/>
        <v>39.894228040143268</v>
      </c>
      <c r="AD8" s="7">
        <f t="shared" si="14"/>
        <v>0.19111608733849447</v>
      </c>
      <c r="AE8" s="7">
        <f t="shared" si="15"/>
        <v>3.0404582334648529E-31</v>
      </c>
      <c r="AF8" s="7">
        <f t="shared" si="16"/>
        <v>1.0270445340686966E-2</v>
      </c>
      <c r="AG8" s="8">
        <f t="shared" si="17"/>
        <v>2.1039101756588825E-3</v>
      </c>
      <c r="AH8" s="8"/>
      <c r="AI8" s="9">
        <f t="shared" si="18"/>
        <v>0.20349044285484033</v>
      </c>
      <c r="AK8" s="7">
        <f t="shared" si="19"/>
        <v>0.93918950028934234</v>
      </c>
      <c r="AL8" s="7">
        <f t="shared" si="20"/>
        <v>1.4941528411895787E-30</v>
      </c>
      <c r="AM8" s="7">
        <f t="shared" si="21"/>
        <v>5.0471389204324334E-2</v>
      </c>
      <c r="AN8" s="7">
        <f t="shared" si="22"/>
        <v>1.0339110506333234E-2</v>
      </c>
      <c r="AP8" s="10">
        <v>5</v>
      </c>
      <c r="AQ8" s="7">
        <f t="shared" si="23"/>
        <v>0.99998632541078514</v>
      </c>
      <c r="AR8" s="7">
        <f t="shared" si="1"/>
        <v>0</v>
      </c>
      <c r="AS8" s="7">
        <f t="shared" si="1"/>
        <v>0.18710917641907787</v>
      </c>
      <c r="AT8" s="8">
        <f t="shared" si="1"/>
        <v>4.0719468250052238E-2</v>
      </c>
      <c r="AV8" s="7">
        <f t="shared" si="25"/>
        <v>0.99998632541078514</v>
      </c>
      <c r="AW8" s="7">
        <f t="shared" si="24"/>
        <v>0</v>
      </c>
      <c r="AX8" s="7">
        <f t="shared" si="24"/>
        <v>0</v>
      </c>
      <c r="AY8" s="7">
        <f t="shared" si="24"/>
        <v>0</v>
      </c>
    </row>
    <row r="9" spans="1:51" s="7" customFormat="1" x14ac:dyDescent="0.3">
      <c r="A9" s="10">
        <v>6</v>
      </c>
      <c r="C9" s="7">
        <f t="shared" si="2"/>
        <v>6.5253393517286831E-2</v>
      </c>
      <c r="D9" s="7">
        <f t="shared" si="3"/>
        <v>1.3717356385244401E-2</v>
      </c>
      <c r="E9" s="7">
        <f t="shared" si="4"/>
        <v>0.18418057342629801</v>
      </c>
      <c r="F9" s="7">
        <f t="shared" si="5"/>
        <v>1.664411779182004E-2</v>
      </c>
      <c r="G9" s="7">
        <f t="shared" si="6"/>
        <v>8.7421988865845259E-3</v>
      </c>
      <c r="I9">
        <v>1.3227509043645114E-2</v>
      </c>
      <c r="J9">
        <v>-5.6846374718588777E-3</v>
      </c>
      <c r="K9">
        <v>-1.2264263204997405E-2</v>
      </c>
      <c r="L9">
        <v>1.3523958841688E-3</v>
      </c>
      <c r="M9">
        <v>-1.0233088687527925E-2</v>
      </c>
      <c r="O9" s="7">
        <f t="shared" si="7"/>
        <v>1.0784809025609319</v>
      </c>
      <c r="P9" s="7">
        <f t="shared" si="0"/>
        <v>1.0080327189133855</v>
      </c>
      <c r="Q9" s="7">
        <f t="shared" si="0"/>
        <v>1.1719163102213006</v>
      </c>
      <c r="R9" s="7">
        <f t="shared" si="0"/>
        <v>1.0179965136759888</v>
      </c>
      <c r="S9" s="7">
        <f t="shared" si="0"/>
        <v>0.99850911019905664</v>
      </c>
      <c r="U9" s="10">
        <v>1</v>
      </c>
      <c r="W9" s="7">
        <f t="shared" si="8"/>
        <v>7.8480902560931876E-2</v>
      </c>
      <c r="X9" s="7">
        <f t="shared" si="9"/>
        <v>8.0327189133855281E-3</v>
      </c>
      <c r="Y9" s="7">
        <f t="shared" si="10"/>
        <v>0.17191631022130061</v>
      </c>
      <c r="Z9" s="7">
        <f t="shared" si="11"/>
        <v>1.7996513675988757E-2</v>
      </c>
      <c r="AA9" s="8">
        <f t="shared" si="12"/>
        <v>1.4908898009433624E-3</v>
      </c>
      <c r="AC9" s="7">
        <f t="shared" si="13"/>
        <v>39.894228040143268</v>
      </c>
      <c r="AD9" s="7">
        <f t="shared" si="14"/>
        <v>6.6681981868623598E-10</v>
      </c>
      <c r="AE9" s="7">
        <f t="shared" si="15"/>
        <v>4.4012399294791067E-18</v>
      </c>
      <c r="AF9" s="7">
        <f t="shared" si="16"/>
        <v>4.5381562163453808E-7</v>
      </c>
      <c r="AG9" s="8">
        <f t="shared" si="17"/>
        <v>5.3652471643402757E-12</v>
      </c>
      <c r="AH9" s="8"/>
      <c r="AI9" s="9">
        <f t="shared" si="18"/>
        <v>4.5448780670478988E-7</v>
      </c>
      <c r="AK9" s="7">
        <f t="shared" si="19"/>
        <v>1.4671896778066153E-3</v>
      </c>
      <c r="AL9" s="7">
        <f t="shared" si="20"/>
        <v>9.6839560149914175E-12</v>
      </c>
      <c r="AM9" s="7">
        <f t="shared" si="21"/>
        <v>0.99852100527157062</v>
      </c>
      <c r="AN9" s="7">
        <f t="shared" si="22"/>
        <v>1.1805040938810584E-5</v>
      </c>
      <c r="AP9" s="10">
        <v>6</v>
      </c>
      <c r="AQ9" s="7">
        <f t="shared" si="23"/>
        <v>5.8558554666456875E-3</v>
      </c>
      <c r="AR9" s="7">
        <f t="shared" si="1"/>
        <v>3.8735681329171712E-11</v>
      </c>
      <c r="AS9" s="7">
        <f t="shared" si="1"/>
        <v>0.99999999999521516</v>
      </c>
      <c r="AT9" s="8">
        <f t="shared" si="1"/>
        <v>4.7219327607761485E-5</v>
      </c>
      <c r="AV9" s="7">
        <f t="shared" si="25"/>
        <v>0</v>
      </c>
      <c r="AW9" s="7">
        <f t="shared" si="24"/>
        <v>0</v>
      </c>
      <c r="AX9" s="7">
        <f t="shared" si="24"/>
        <v>0.99999999999521516</v>
      </c>
      <c r="AY9" s="7">
        <f t="shared" si="24"/>
        <v>0</v>
      </c>
    </row>
    <row r="10" spans="1:51" s="7" customFormat="1" x14ac:dyDescent="0.3">
      <c r="A10" s="10">
        <v>7</v>
      </c>
      <c r="C10" s="7">
        <f t="shared" si="2"/>
        <v>7.2761736613160502E-2</v>
      </c>
      <c r="D10" s="7">
        <f t="shared" si="3"/>
        <v>1.5470280926274541E-2</v>
      </c>
      <c r="E10" s="7">
        <f t="shared" si="4"/>
        <v>0.18448152613844862</v>
      </c>
      <c r="F10" s="7">
        <f t="shared" si="5"/>
        <v>1.6649045611582636E-2</v>
      </c>
      <c r="G10" s="7">
        <f t="shared" si="6"/>
        <v>9.5155661259386445E-3</v>
      </c>
      <c r="I10">
        <v>8.4592329585575499E-3</v>
      </c>
      <c r="J10">
        <v>-9.1304855232010596E-3</v>
      </c>
      <c r="K10">
        <v>2.6678435460780747E-3</v>
      </c>
      <c r="L10">
        <v>-1.4597708286601119E-2</v>
      </c>
      <c r="M10">
        <v>-1.2309828889556229E-2</v>
      </c>
      <c r="O10" s="7">
        <f t="shared" si="7"/>
        <v>1.0812209695717181</v>
      </c>
      <c r="P10" s="7">
        <f t="shared" si="0"/>
        <v>1.0063397954030735</v>
      </c>
      <c r="Q10" s="7">
        <f t="shared" si="0"/>
        <v>1.1871493696845268</v>
      </c>
      <c r="R10" s="7">
        <f t="shared" si="0"/>
        <v>1.0020513373249815</v>
      </c>
      <c r="S10" s="7">
        <f t="shared" si="0"/>
        <v>0.99720573723638251</v>
      </c>
      <c r="U10" s="10">
        <v>1</v>
      </c>
      <c r="W10" s="7">
        <f t="shared" si="8"/>
        <v>8.1220969571718094E-2</v>
      </c>
      <c r="X10" s="7">
        <f t="shared" si="9"/>
        <v>6.3397954030735004E-3</v>
      </c>
      <c r="Y10" s="7">
        <f t="shared" si="10"/>
        <v>0.18714936968452678</v>
      </c>
      <c r="Z10" s="7">
        <f t="shared" si="11"/>
        <v>2.0513373249815281E-3</v>
      </c>
      <c r="AA10" s="8">
        <f t="shared" si="12"/>
        <v>2.7942627636174944E-3</v>
      </c>
      <c r="AC10" s="7">
        <f t="shared" si="13"/>
        <v>39.894228040143268</v>
      </c>
      <c r="AD10" s="7">
        <f t="shared" si="14"/>
        <v>2.6610384766030317E-11</v>
      </c>
      <c r="AE10" s="7">
        <f t="shared" si="15"/>
        <v>1.7186842709584373E-23</v>
      </c>
      <c r="AF10" s="7">
        <f t="shared" si="16"/>
        <v>9.7833749486153043E-13</v>
      </c>
      <c r="AG10" s="8">
        <f t="shared" si="17"/>
        <v>1.7568300284660884E-12</v>
      </c>
      <c r="AH10" s="8"/>
      <c r="AI10" s="9">
        <f t="shared" si="18"/>
        <v>2.9345552289375126E-11</v>
      </c>
      <c r="AK10" s="7">
        <f t="shared" si="19"/>
        <v>0.90679447786930545</v>
      </c>
      <c r="AL10" s="7">
        <f t="shared" si="20"/>
        <v>5.8567112794830769E-13</v>
      </c>
      <c r="AM10" s="7">
        <f t="shared" si="21"/>
        <v>3.3338527256675556E-2</v>
      </c>
      <c r="AN10" s="7">
        <f t="shared" si="22"/>
        <v>5.9866994873433263E-2</v>
      </c>
      <c r="AP10" s="10">
        <v>7</v>
      </c>
      <c r="AQ10" s="7">
        <f t="shared" si="23"/>
        <v>0.99992453135114234</v>
      </c>
      <c r="AR10" s="7">
        <f t="shared" si="1"/>
        <v>2.3425705819590803E-12</v>
      </c>
      <c r="AS10" s="7">
        <f t="shared" si="1"/>
        <v>0.12683234670253685</v>
      </c>
      <c r="AT10" s="8">
        <f t="shared" si="1"/>
        <v>0.21880905848374332</v>
      </c>
      <c r="AV10" s="7">
        <f t="shared" si="25"/>
        <v>0.99992453135114234</v>
      </c>
      <c r="AW10" s="7">
        <f t="shared" si="24"/>
        <v>0</v>
      </c>
      <c r="AX10" s="7">
        <f t="shared" si="24"/>
        <v>0</v>
      </c>
      <c r="AY10" s="7">
        <f t="shared" si="24"/>
        <v>0</v>
      </c>
    </row>
    <row r="11" spans="1:51" s="7" customFormat="1" x14ac:dyDescent="0.3">
      <c r="A11" s="10">
        <v>8</v>
      </c>
      <c r="C11" s="7">
        <f t="shared" si="2"/>
        <v>8.1174203973413198E-2</v>
      </c>
      <c r="D11" s="7">
        <f t="shared" si="3"/>
        <v>1.7611307795535408E-2</v>
      </c>
      <c r="E11" s="7">
        <f t="shared" si="4"/>
        <v>0.18478299090533307</v>
      </c>
      <c r="F11" s="7">
        <f t="shared" si="5"/>
        <v>1.6653983790640189E-2</v>
      </c>
      <c r="G11" s="7">
        <f t="shared" si="6"/>
        <v>1.0400890426346437E-2</v>
      </c>
      <c r="I11">
        <v>1.0616395229590125E-2</v>
      </c>
      <c r="J11">
        <v>4.5268279791343957E-3</v>
      </c>
      <c r="K11">
        <v>6.8632516558864154E-3</v>
      </c>
      <c r="L11">
        <v>-3.1796616895007901E-3</v>
      </c>
      <c r="M11">
        <v>-1.9738217815756798E-2</v>
      </c>
      <c r="O11" s="7">
        <f t="shared" si="7"/>
        <v>1.0917905992030033</v>
      </c>
      <c r="P11" s="7">
        <f t="shared" si="0"/>
        <v>1.0221381357746697</v>
      </c>
      <c r="Q11" s="7">
        <f t="shared" si="0"/>
        <v>1.1916462425612195</v>
      </c>
      <c r="R11" s="7">
        <f t="shared" si="0"/>
        <v>1.0134743221011393</v>
      </c>
      <c r="S11" s="7">
        <f t="shared" si="0"/>
        <v>0.9906626726105896</v>
      </c>
      <c r="U11" s="10">
        <v>1</v>
      </c>
      <c r="W11" s="7">
        <f t="shared" si="8"/>
        <v>9.1790599203003254E-2</v>
      </c>
      <c r="X11" s="7">
        <f t="shared" si="9"/>
        <v>2.213813577466972E-2</v>
      </c>
      <c r="Y11" s="7">
        <f t="shared" si="10"/>
        <v>0.19164624256121954</v>
      </c>
      <c r="Z11" s="7">
        <f t="shared" si="11"/>
        <v>1.3474322101139302E-2</v>
      </c>
      <c r="AA11" s="8">
        <f t="shared" si="12"/>
        <v>9.3373273894103992E-3</v>
      </c>
      <c r="AC11" s="7">
        <f t="shared" si="13"/>
        <v>39.894228040143268</v>
      </c>
      <c r="AD11" s="7">
        <f t="shared" si="14"/>
        <v>1.1643572075304687E-9</v>
      </c>
      <c r="AE11" s="7">
        <f t="shared" si="15"/>
        <v>8.8886133011992907E-21</v>
      </c>
      <c r="AF11" s="7">
        <f t="shared" si="16"/>
        <v>1.9156490088506569E-12</v>
      </c>
      <c r="AG11" s="8">
        <f t="shared" si="17"/>
        <v>6.8875317954588625E-14</v>
      </c>
      <c r="AH11" s="8"/>
      <c r="AI11" s="9">
        <f t="shared" si="18"/>
        <v>1.1663417318661627E-9</v>
      </c>
      <c r="AK11" s="7">
        <f t="shared" si="19"/>
        <v>0.99829850524809849</v>
      </c>
      <c r="AL11" s="7">
        <f t="shared" si="20"/>
        <v>7.6209339495873029E-12</v>
      </c>
      <c r="AM11" s="7">
        <f t="shared" si="21"/>
        <v>1.6424423104415482E-3</v>
      </c>
      <c r="AN11" s="7">
        <f t="shared" si="22"/>
        <v>5.905243383891201E-5</v>
      </c>
      <c r="AP11" s="10">
        <v>8</v>
      </c>
      <c r="AQ11" s="7">
        <f t="shared" si="23"/>
        <v>0.99999999999161848</v>
      </c>
      <c r="AR11" s="7">
        <f t="shared" si="1"/>
        <v>3.0483615631737848E-11</v>
      </c>
      <c r="AS11" s="7">
        <f t="shared" si="1"/>
        <v>6.5536012567497526E-3</v>
      </c>
      <c r="AT11" s="8">
        <f t="shared" si="1"/>
        <v>2.3618881303943962E-4</v>
      </c>
      <c r="AV11" s="7">
        <f t="shared" si="25"/>
        <v>0.99999999999161848</v>
      </c>
      <c r="AW11" s="7">
        <f t="shared" si="24"/>
        <v>0</v>
      </c>
      <c r="AX11" s="7">
        <f t="shared" si="24"/>
        <v>0</v>
      </c>
      <c r="AY11" s="7">
        <f t="shared" si="24"/>
        <v>0</v>
      </c>
    </row>
    <row r="12" spans="1:51" s="7" customFormat="1" x14ac:dyDescent="0.3">
      <c r="A12" s="10">
        <v>9</v>
      </c>
      <c r="C12" s="7">
        <f t="shared" si="2"/>
        <v>9.0599666579964766E-2</v>
      </c>
      <c r="D12" s="7">
        <f t="shared" si="3"/>
        <v>2.022636391894566E-2</v>
      </c>
      <c r="E12" s="7">
        <f t="shared" si="4"/>
        <v>0.1850849685981848</v>
      </c>
      <c r="F12" s="7">
        <f t="shared" si="5"/>
        <v>1.6658932350770077E-2</v>
      </c>
      <c r="G12" s="7">
        <f t="shared" si="6"/>
        <v>1.1414379331755903E-2</v>
      </c>
      <c r="I12">
        <v>-5.9359308579587378E-4</v>
      </c>
      <c r="J12">
        <v>4.1319481169921346E-3</v>
      </c>
      <c r="K12">
        <v>-8.1909547589020804E-3</v>
      </c>
      <c r="L12">
        <v>5.3995563575881533E-4</v>
      </c>
      <c r="M12">
        <v>2.9444890969898552E-5</v>
      </c>
      <c r="O12" s="7">
        <f t="shared" si="7"/>
        <v>1.0900060734941688</v>
      </c>
      <c r="P12" s="7">
        <f t="shared" si="0"/>
        <v>1.0243583120359379</v>
      </c>
      <c r="Q12" s="7">
        <f t="shared" si="0"/>
        <v>1.1768940138392827</v>
      </c>
      <c r="R12" s="7">
        <f t="shared" si="0"/>
        <v>1.0171988879865288</v>
      </c>
      <c r="S12" s="7">
        <f t="shared" si="0"/>
        <v>1.0114438242227257</v>
      </c>
      <c r="U12" s="10">
        <v>1</v>
      </c>
      <c r="W12" s="7">
        <f t="shared" si="8"/>
        <v>9.0006073494168781E-2</v>
      </c>
      <c r="X12" s="7">
        <f t="shared" si="9"/>
        <v>2.4358312035937857E-2</v>
      </c>
      <c r="Y12" s="7">
        <f t="shared" si="10"/>
        <v>0.17689401383928272</v>
      </c>
      <c r="Z12" s="7">
        <f t="shared" si="11"/>
        <v>1.7198887986528799E-2</v>
      </c>
      <c r="AA12" s="8">
        <f t="shared" si="12"/>
        <v>1.1443824222725718E-2</v>
      </c>
      <c r="AC12" s="7">
        <f t="shared" si="13"/>
        <v>39.894228040143268</v>
      </c>
      <c r="AD12" s="7">
        <f t="shared" si="14"/>
        <v>1.7485195777678062E-8</v>
      </c>
      <c r="AE12" s="7">
        <f t="shared" si="15"/>
        <v>1.6119379658388663E-15</v>
      </c>
      <c r="AF12" s="7">
        <f t="shared" si="16"/>
        <v>1.2307838895963702E-10</v>
      </c>
      <c r="AG12" s="8">
        <f t="shared" si="17"/>
        <v>1.579514807108237E-12</v>
      </c>
      <c r="AH12" s="8"/>
      <c r="AI12" s="9">
        <f t="shared" si="18"/>
        <v>1.7609855293382772E-8</v>
      </c>
      <c r="AK12" s="7">
        <f t="shared" si="19"/>
        <v>0.9929210369064444</v>
      </c>
      <c r="AL12" s="7">
        <f t="shared" si="20"/>
        <v>9.1536127866114936E-8</v>
      </c>
      <c r="AM12" s="7">
        <f t="shared" si="21"/>
        <v>6.9891766234947989E-3</v>
      </c>
      <c r="AN12" s="7">
        <f t="shared" si="22"/>
        <v>8.9694933932919307E-5</v>
      </c>
      <c r="AP12" s="10">
        <v>9</v>
      </c>
      <c r="AQ12" s="7">
        <f t="shared" si="23"/>
        <v>0.99999999748881563</v>
      </c>
      <c r="AR12" s="7">
        <f t="shared" si="1"/>
        <v>3.6614446141669532E-7</v>
      </c>
      <c r="AS12" s="7">
        <f t="shared" si="1"/>
        <v>2.7664978214237967E-2</v>
      </c>
      <c r="AT12" s="8">
        <f t="shared" si="1"/>
        <v>3.5873146753118146E-4</v>
      </c>
      <c r="AV12" s="7">
        <f t="shared" si="25"/>
        <v>0.99999999748881563</v>
      </c>
      <c r="AW12" s="7">
        <f t="shared" si="24"/>
        <v>0</v>
      </c>
      <c r="AX12" s="7">
        <f t="shared" si="24"/>
        <v>0</v>
      </c>
      <c r="AY12" s="7">
        <f t="shared" si="24"/>
        <v>0</v>
      </c>
    </row>
    <row r="13" spans="1:51" s="7" customFormat="1" x14ac:dyDescent="0.3">
      <c r="A13" s="10">
        <v>10</v>
      </c>
      <c r="C13" s="7">
        <f t="shared" si="2"/>
        <v>0.10116010521741511</v>
      </c>
      <c r="D13" s="7">
        <f t="shared" si="3"/>
        <v>2.3420400680822587E-2</v>
      </c>
      <c r="E13" s="7">
        <f t="shared" si="4"/>
        <v>0.18538746008971946</v>
      </c>
      <c r="F13" s="7">
        <f t="shared" si="5"/>
        <v>1.6663891313795452E-2</v>
      </c>
      <c r="G13" s="7">
        <f t="shared" si="6"/>
        <v>1.2574586682796596E-2</v>
      </c>
      <c r="I13">
        <v>7.5496473073144443E-3</v>
      </c>
      <c r="J13">
        <v>7.2807551987352781E-3</v>
      </c>
      <c r="K13">
        <v>-6.6613438320928253E-3</v>
      </c>
      <c r="L13">
        <v>6.296204446698539E-4</v>
      </c>
      <c r="M13">
        <v>-8.8327624325756915E-3</v>
      </c>
      <c r="O13" s="7">
        <f t="shared" si="7"/>
        <v>1.1087097525247296</v>
      </c>
      <c r="P13" s="7">
        <f t="shared" si="0"/>
        <v>1.0307011558795578</v>
      </c>
      <c r="Q13" s="7">
        <f t="shared" si="0"/>
        <v>1.1787261162576266</v>
      </c>
      <c r="R13" s="7">
        <f t="shared" si="0"/>
        <v>1.0172935117584654</v>
      </c>
      <c r="S13" s="7">
        <f t="shared" si="0"/>
        <v>1.003741824250221</v>
      </c>
      <c r="U13" s="10">
        <v>1</v>
      </c>
      <c r="W13" s="7">
        <f t="shared" si="8"/>
        <v>0.10870975252472959</v>
      </c>
      <c r="X13" s="7">
        <f t="shared" si="9"/>
        <v>3.0701155879557795E-2</v>
      </c>
      <c r="Y13" s="7">
        <f t="shared" si="10"/>
        <v>0.17872611625762658</v>
      </c>
      <c r="Z13" s="7">
        <f t="shared" si="11"/>
        <v>1.7293511758465385E-2</v>
      </c>
      <c r="AA13" s="8">
        <f t="shared" si="12"/>
        <v>3.7418242502209598E-3</v>
      </c>
      <c r="AC13" s="7">
        <f t="shared" si="13"/>
        <v>39.894228040143268</v>
      </c>
      <c r="AD13" s="7">
        <f t="shared" si="14"/>
        <v>2.4364620704835186E-12</v>
      </c>
      <c r="AE13" s="7">
        <f t="shared" si="15"/>
        <v>9.0306706234781641E-10</v>
      </c>
      <c r="AF13" s="7">
        <f t="shared" si="16"/>
        <v>2.8449140451029121E-17</v>
      </c>
      <c r="AG13" s="8">
        <f t="shared" si="17"/>
        <v>4.7320521200416656E-23</v>
      </c>
      <c r="AH13" s="8"/>
      <c r="AI13" s="9">
        <f t="shared" si="18"/>
        <v>9.0550355286748769E-10</v>
      </c>
      <c r="AK13" s="7">
        <f t="shared" si="19"/>
        <v>2.690726129972538E-3</v>
      </c>
      <c r="AL13" s="7">
        <f t="shared" si="20"/>
        <v>0.9973092424519423</v>
      </c>
      <c r="AM13" s="7">
        <f t="shared" si="21"/>
        <v>3.1418032939725411E-8</v>
      </c>
      <c r="AN13" s="7">
        <f t="shared" si="22"/>
        <v>5.2258791310719007E-14</v>
      </c>
      <c r="AP13" s="10">
        <v>10</v>
      </c>
      <c r="AQ13" s="7">
        <f t="shared" si="23"/>
        <v>1.0719542348338718E-2</v>
      </c>
      <c r="AR13" s="7">
        <f t="shared" si="1"/>
        <v>0.99999999994757982</v>
      </c>
      <c r="AS13" s="7">
        <f t="shared" si="1"/>
        <v>1.2567212581693354E-7</v>
      </c>
      <c r="AT13" s="8">
        <f t="shared" si="1"/>
        <v>2.0916601783937949E-13</v>
      </c>
      <c r="AV13" s="7">
        <f t="shared" si="25"/>
        <v>0</v>
      </c>
      <c r="AW13" s="7">
        <f t="shared" si="24"/>
        <v>0.99999999994757982</v>
      </c>
      <c r="AX13" s="7">
        <f t="shared" si="24"/>
        <v>0</v>
      </c>
      <c r="AY13" s="7">
        <f t="shared" si="24"/>
        <v>0</v>
      </c>
    </row>
    <row r="14" spans="1:51" s="7" customFormat="1" x14ac:dyDescent="0.3">
      <c r="A14" s="10">
        <v>11</v>
      </c>
      <c r="C14" s="7">
        <f t="shared" si="2"/>
        <v>0.11299218910238375</v>
      </c>
      <c r="D14" s="7">
        <f t="shared" si="3"/>
        <v>2.7321605991444047E-2</v>
      </c>
      <c r="E14" s="7">
        <f t="shared" si="4"/>
        <v>0.18569046625413774</v>
      </c>
      <c r="F14" s="7">
        <f t="shared" si="5"/>
        <v>1.6668860701585353E-2</v>
      </c>
      <c r="G14" s="7">
        <f t="shared" si="6"/>
        <v>1.3902752280095387E-2</v>
      </c>
      <c r="I14">
        <v>-3.6075334719498642E-3</v>
      </c>
      <c r="J14">
        <v>-3.6344999898574315E-3</v>
      </c>
      <c r="K14">
        <v>-1.2609052646439523E-2</v>
      </c>
      <c r="L14">
        <v>1.0832559382834006E-2</v>
      </c>
      <c r="M14">
        <v>1.3887074601370841E-2</v>
      </c>
      <c r="O14" s="7">
        <f t="shared" si="7"/>
        <v>1.1093846556304339</v>
      </c>
      <c r="P14" s="7">
        <f t="shared" si="0"/>
        <v>1.0236871060015866</v>
      </c>
      <c r="Q14" s="7">
        <f t="shared" si="0"/>
        <v>1.1730814136076981</v>
      </c>
      <c r="R14" s="7">
        <f t="shared" si="0"/>
        <v>1.0275014200844192</v>
      </c>
      <c r="S14" s="7">
        <f t="shared" si="0"/>
        <v>1.0277898268814663</v>
      </c>
      <c r="U14" s="10">
        <v>1</v>
      </c>
      <c r="W14" s="7">
        <f t="shared" si="8"/>
        <v>0.10938465563043387</v>
      </c>
      <c r="X14" s="7">
        <f t="shared" si="9"/>
        <v>2.3687106001586633E-2</v>
      </c>
      <c r="Y14" s="7">
        <f t="shared" si="10"/>
        <v>0.17308141360769813</v>
      </c>
      <c r="Z14" s="7">
        <f t="shared" si="11"/>
        <v>2.7501420084419248E-2</v>
      </c>
      <c r="AA14" s="8">
        <f t="shared" si="12"/>
        <v>2.7789826881466251E-2</v>
      </c>
      <c r="AC14" s="7">
        <f t="shared" si="13"/>
        <v>39.894228040143268</v>
      </c>
      <c r="AD14" s="7">
        <f t="shared" si="14"/>
        <v>4.5026134089685259E-15</v>
      </c>
      <c r="AE14" s="7">
        <f t="shared" si="15"/>
        <v>6.1751150422531357E-8</v>
      </c>
      <c r="AF14" s="7">
        <f t="shared" si="16"/>
        <v>1.1002270243533107E-13</v>
      </c>
      <c r="AG14" s="8">
        <f t="shared" si="17"/>
        <v>1.3927183277216058E-13</v>
      </c>
      <c r="AH14" s="8"/>
      <c r="AI14" s="9">
        <f t="shared" si="18"/>
        <v>6.1751404219679958E-8</v>
      </c>
      <c r="AK14" s="7">
        <f t="shared" si="19"/>
        <v>7.2915158219730953E-8</v>
      </c>
      <c r="AL14" s="7">
        <f t="shared" si="20"/>
        <v>0.99999589001818168</v>
      </c>
      <c r="AM14" s="7">
        <f t="shared" si="21"/>
        <v>1.7817036523400585E-6</v>
      </c>
      <c r="AN14" s="7">
        <f t="shared" si="22"/>
        <v>2.2553630080492182E-6</v>
      </c>
      <c r="AP14" s="10">
        <v>11</v>
      </c>
      <c r="AQ14" s="7">
        <f t="shared" si="23"/>
        <v>2.916606010039402E-7</v>
      </c>
      <c r="AR14" s="7">
        <f t="shared" si="1"/>
        <v>1</v>
      </c>
      <c r="AS14" s="7">
        <f t="shared" si="1"/>
        <v>7.1267955628062651E-6</v>
      </c>
      <c r="AT14" s="8">
        <f t="shared" si="1"/>
        <v>9.0214215120454355E-6</v>
      </c>
      <c r="AV14" s="7">
        <f t="shared" si="25"/>
        <v>0</v>
      </c>
      <c r="AW14" s="7">
        <f t="shared" si="24"/>
        <v>1</v>
      </c>
      <c r="AX14" s="7">
        <f t="shared" si="24"/>
        <v>0</v>
      </c>
      <c r="AY14" s="7">
        <f t="shared" si="24"/>
        <v>0</v>
      </c>
    </row>
    <row r="15" spans="1:51" s="7" customFormat="1" x14ac:dyDescent="0.3">
      <c r="A15" s="10">
        <v>12</v>
      </c>
      <c r="C15" s="7">
        <f t="shared" si="2"/>
        <v>0.12624904460500094</v>
      </c>
      <c r="D15" s="7">
        <f t="shared" si="3"/>
        <v>3.2086548917986193E-2</v>
      </c>
      <c r="E15" s="7">
        <f t="shared" si="4"/>
        <v>0.18599398796712768</v>
      </c>
      <c r="F15" s="7">
        <f t="shared" si="5"/>
        <v>1.6673840536054786E-2</v>
      </c>
      <c r="G15" s="7">
        <f t="shared" si="6"/>
        <v>1.5423190719194863E-2</v>
      </c>
      <c r="I15">
        <v>7.9106257544481196E-3</v>
      </c>
      <c r="J15">
        <v>-1.6620651877019554E-2</v>
      </c>
      <c r="K15">
        <v>-6.7943801695946604E-4</v>
      </c>
      <c r="L15">
        <v>-5.3797521104570478E-3</v>
      </c>
      <c r="M15">
        <v>-2.0323113858466968E-3</v>
      </c>
      <c r="O15" s="7">
        <f t="shared" si="7"/>
        <v>1.134159670359449</v>
      </c>
      <c r="P15" s="7">
        <f t="shared" si="0"/>
        <v>1.0154658970409667</v>
      </c>
      <c r="Q15" s="7">
        <f t="shared" si="0"/>
        <v>1.1853145499501683</v>
      </c>
      <c r="R15" s="7">
        <f t="shared" si="0"/>
        <v>1.0112940884255976</v>
      </c>
      <c r="S15" s="7">
        <f t="shared" si="0"/>
        <v>1.0133908793333481</v>
      </c>
      <c r="U15" s="10">
        <v>1</v>
      </c>
      <c r="W15" s="7">
        <f t="shared" si="8"/>
        <v>0.13415967035944898</v>
      </c>
      <c r="X15" s="7">
        <f t="shared" si="9"/>
        <v>1.5465897040966681E-2</v>
      </c>
      <c r="Y15" s="7">
        <f t="shared" si="10"/>
        <v>0.18531454995016827</v>
      </c>
      <c r="Z15" s="7">
        <f t="shared" si="11"/>
        <v>1.1294088425597648E-2</v>
      </c>
      <c r="AA15" s="8">
        <f t="shared" si="12"/>
        <v>1.3390879333348149E-2</v>
      </c>
      <c r="AC15" s="7">
        <f t="shared" si="13"/>
        <v>39.894228040143268</v>
      </c>
      <c r="AD15" s="7">
        <f t="shared" si="14"/>
        <v>1.0203444095395968E-29</v>
      </c>
      <c r="AE15" s="7">
        <f t="shared" si="15"/>
        <v>8.2899885507013114E-5</v>
      </c>
      <c r="AF15" s="7">
        <f t="shared" si="16"/>
        <v>6.6140654413139814E-32</v>
      </c>
      <c r="AG15" s="8">
        <f t="shared" si="17"/>
        <v>8.5067937254032147E-31</v>
      </c>
      <c r="AH15" s="8"/>
      <c r="AI15" s="9">
        <f t="shared" si="18"/>
        <v>8.2899885507013114E-5</v>
      </c>
      <c r="AK15" s="7">
        <f t="shared" si="19"/>
        <v>1.2308152216365587E-25</v>
      </c>
      <c r="AL15" s="7">
        <f t="shared" si="20"/>
        <v>1</v>
      </c>
      <c r="AM15" s="7">
        <f t="shared" si="21"/>
        <v>7.9783770518651064E-28</v>
      </c>
      <c r="AN15" s="7">
        <f t="shared" si="22"/>
        <v>1.0261526506793019E-26</v>
      </c>
      <c r="AP15" s="10">
        <v>12</v>
      </c>
      <c r="AQ15" s="7">
        <f t="shared" si="23"/>
        <v>0</v>
      </c>
      <c r="AR15" s="7">
        <f t="shared" si="1"/>
        <v>1</v>
      </c>
      <c r="AS15" s="7">
        <f t="shared" si="1"/>
        <v>0</v>
      </c>
      <c r="AT15" s="8">
        <f t="shared" si="1"/>
        <v>0</v>
      </c>
      <c r="AV15" s="7">
        <f t="shared" si="25"/>
        <v>0</v>
      </c>
      <c r="AW15" s="7">
        <f t="shared" si="24"/>
        <v>1</v>
      </c>
      <c r="AX15" s="7">
        <f t="shared" si="24"/>
        <v>0</v>
      </c>
      <c r="AY15" s="7">
        <f t="shared" si="24"/>
        <v>0</v>
      </c>
    </row>
    <row r="16" spans="1:51" s="7" customFormat="1" x14ac:dyDescent="0.3">
      <c r="A16" s="10">
        <v>13</v>
      </c>
      <c r="C16" s="7">
        <f t="shared" si="2"/>
        <v>0.1411022369526766</v>
      </c>
      <c r="D16" s="7">
        <f t="shared" si="3"/>
        <v>3.7906463350940563E-2</v>
      </c>
      <c r="E16" s="7">
        <f t="shared" si="4"/>
        <v>0.18629802610586721</v>
      </c>
      <c r="F16" s="7">
        <f t="shared" si="5"/>
        <v>1.6678830839164827E-2</v>
      </c>
      <c r="G16" s="7">
        <f t="shared" si="6"/>
        <v>1.7163736515436564E-2</v>
      </c>
      <c r="I16">
        <v>2.8617705538636073E-3</v>
      </c>
      <c r="J16">
        <v>-1.4343868315336294E-4</v>
      </c>
      <c r="K16">
        <v>-1.9613025870057754E-3</v>
      </c>
      <c r="L16">
        <v>6.0481056607386563E-3</v>
      </c>
      <c r="M16">
        <v>-9.9041699286317453E-3</v>
      </c>
      <c r="O16" s="7">
        <f t="shared" si="7"/>
        <v>1.1439640075065403</v>
      </c>
      <c r="P16" s="7">
        <f t="shared" si="0"/>
        <v>1.0377630246677871</v>
      </c>
      <c r="Q16" s="7">
        <f t="shared" si="0"/>
        <v>1.1843367235188613</v>
      </c>
      <c r="R16" s="7">
        <f t="shared" si="0"/>
        <v>1.0227269364999034</v>
      </c>
      <c r="S16" s="7">
        <f t="shared" si="0"/>
        <v>1.0072595665868047</v>
      </c>
      <c r="U16" s="10">
        <v>1</v>
      </c>
      <c r="W16" s="7">
        <f t="shared" si="8"/>
        <v>0.14396400750654026</v>
      </c>
      <c r="X16" s="7">
        <f t="shared" si="9"/>
        <v>3.7763024667787137E-2</v>
      </c>
      <c r="Y16" s="7">
        <f t="shared" si="10"/>
        <v>0.18433672351886132</v>
      </c>
      <c r="Z16" s="7">
        <f t="shared" si="11"/>
        <v>2.2726936499903427E-2</v>
      </c>
      <c r="AA16" s="8">
        <f t="shared" si="12"/>
        <v>7.259566586804711E-3</v>
      </c>
      <c r="AC16" s="7">
        <f t="shared" si="13"/>
        <v>39.894228040143268</v>
      </c>
      <c r="AD16" s="7">
        <f t="shared" si="14"/>
        <v>1.2871687154537081E-23</v>
      </c>
      <c r="AE16" s="7">
        <f t="shared" si="15"/>
        <v>1.1521397293004831E-2</v>
      </c>
      <c r="AF16" s="7">
        <f t="shared" si="16"/>
        <v>4.8270359495975734E-31</v>
      </c>
      <c r="AG16" s="8">
        <f t="shared" si="17"/>
        <v>1.0476289246483497E-39</v>
      </c>
      <c r="AH16" s="8"/>
      <c r="AI16" s="9">
        <f t="shared" si="18"/>
        <v>1.1521397293004831E-2</v>
      </c>
      <c r="AK16" s="7">
        <f t="shared" si="19"/>
        <v>1.1171984462641587E-21</v>
      </c>
      <c r="AL16" s="7">
        <f t="shared" si="20"/>
        <v>1</v>
      </c>
      <c r="AM16" s="7">
        <f t="shared" si="21"/>
        <v>4.1896272013189655E-29</v>
      </c>
      <c r="AN16" s="7">
        <f t="shared" si="22"/>
        <v>9.0928981789770695E-38</v>
      </c>
      <c r="AP16" s="10">
        <v>13</v>
      </c>
      <c r="AQ16" s="7">
        <f t="shared" si="23"/>
        <v>0</v>
      </c>
      <c r="AR16" s="7">
        <f t="shared" si="1"/>
        <v>1</v>
      </c>
      <c r="AS16" s="7">
        <f t="shared" si="1"/>
        <v>0</v>
      </c>
      <c r="AT16" s="8">
        <f t="shared" si="1"/>
        <v>0</v>
      </c>
      <c r="AV16" s="7">
        <f t="shared" si="25"/>
        <v>0</v>
      </c>
      <c r="AW16" s="7">
        <f t="shared" si="24"/>
        <v>1</v>
      </c>
      <c r="AX16" s="7">
        <f t="shared" si="24"/>
        <v>0</v>
      </c>
      <c r="AY16" s="7">
        <f t="shared" si="24"/>
        <v>0</v>
      </c>
    </row>
    <row r="17" spans="1:51" s="7" customFormat="1" x14ac:dyDescent="0.3">
      <c r="A17" s="10">
        <v>14</v>
      </c>
      <c r="C17" s="7">
        <f t="shared" si="2"/>
        <v>0.15774399056261029</v>
      </c>
      <c r="D17" s="7">
        <f t="shared" si="3"/>
        <v>4.5014922891607217E-2</v>
      </c>
      <c r="E17" s="7">
        <f t="shared" si="4"/>
        <v>0.18660258154902679</v>
      </c>
      <c r="F17" s="7">
        <f t="shared" si="5"/>
        <v>1.6683831632922728E-2</v>
      </c>
      <c r="G17" s="7">
        <f t="shared" si="6"/>
        <v>1.9156253667665997E-2</v>
      </c>
      <c r="I17">
        <v>-3.0455566957243718E-3</v>
      </c>
      <c r="J17">
        <v>-3.1049125936988275E-3</v>
      </c>
      <c r="K17">
        <v>-1.7138859220722225E-3</v>
      </c>
      <c r="L17">
        <v>1.0803432815009728E-3</v>
      </c>
      <c r="M17">
        <v>6.8187887336534914E-3</v>
      </c>
      <c r="O17" s="7">
        <f t="shared" si="7"/>
        <v>1.154698433866886</v>
      </c>
      <c r="P17" s="7">
        <f t="shared" si="0"/>
        <v>1.0419100102979084</v>
      </c>
      <c r="Q17" s="7">
        <f t="shared" si="0"/>
        <v>1.1848886956269546</v>
      </c>
      <c r="R17" s="7">
        <f t="shared" si="0"/>
        <v>1.0177641749144237</v>
      </c>
      <c r="S17" s="7">
        <f t="shared" si="0"/>
        <v>1.0259750424013194</v>
      </c>
      <c r="U17" s="10">
        <v>1</v>
      </c>
      <c r="W17" s="7">
        <f t="shared" si="8"/>
        <v>0.15469843386688598</v>
      </c>
      <c r="X17" s="7">
        <f t="shared" si="9"/>
        <v>4.1910010297908418E-2</v>
      </c>
      <c r="Y17" s="7">
        <f t="shared" si="10"/>
        <v>0.18488869562695465</v>
      </c>
      <c r="Z17" s="7">
        <f t="shared" si="11"/>
        <v>1.7764174914423725E-2</v>
      </c>
      <c r="AA17" s="8">
        <f t="shared" si="12"/>
        <v>2.5975042401319426E-2</v>
      </c>
      <c r="AC17" s="7">
        <f t="shared" si="13"/>
        <v>39.894228040143268</v>
      </c>
      <c r="AD17" s="7">
        <f t="shared" si="14"/>
        <v>9.4866610102775619E-27</v>
      </c>
      <c r="AE17" s="7">
        <f t="shared" si="15"/>
        <v>0.41852114153385173</v>
      </c>
      <c r="AF17" s="7">
        <f t="shared" si="16"/>
        <v>7.6497961333290091E-40</v>
      </c>
      <c r="AG17" s="8">
        <f t="shared" si="17"/>
        <v>4.1709855699197225E-35</v>
      </c>
      <c r="AH17" s="8"/>
      <c r="AI17" s="9">
        <f t="shared" si="18"/>
        <v>0.41852114153385173</v>
      </c>
      <c r="AK17" s="7">
        <f t="shared" si="19"/>
        <v>2.2667101058526195E-26</v>
      </c>
      <c r="AL17" s="7">
        <f t="shared" si="20"/>
        <v>1</v>
      </c>
      <c r="AM17" s="7">
        <f t="shared" si="21"/>
        <v>1.8278159390689375E-39</v>
      </c>
      <c r="AN17" s="7">
        <f t="shared" si="22"/>
        <v>9.9660092549526702E-35</v>
      </c>
      <c r="AP17" s="10">
        <v>14</v>
      </c>
      <c r="AQ17" s="7">
        <f t="shared" si="23"/>
        <v>0</v>
      </c>
      <c r="AR17" s="7">
        <f t="shared" si="1"/>
        <v>1</v>
      </c>
      <c r="AS17" s="7">
        <f t="shared" si="1"/>
        <v>0</v>
      </c>
      <c r="AT17" s="8">
        <f t="shared" si="1"/>
        <v>0</v>
      </c>
      <c r="AV17" s="7">
        <f t="shared" si="25"/>
        <v>0</v>
      </c>
      <c r="AW17" s="7">
        <f t="shared" si="24"/>
        <v>1</v>
      </c>
      <c r="AX17" s="7">
        <f t="shared" si="24"/>
        <v>0</v>
      </c>
      <c r="AY17" s="7">
        <f t="shared" si="24"/>
        <v>0</v>
      </c>
    </row>
    <row r="18" spans="1:51" s="15" customFormat="1" x14ac:dyDescent="0.3">
      <c r="A18" s="14">
        <v>15</v>
      </c>
      <c r="C18" s="15">
        <f t="shared" si="2"/>
        <v>0.17638967673774969</v>
      </c>
      <c r="D18" s="15">
        <f t="shared" si="3"/>
        <v>5.3697214980847424E-2</v>
      </c>
      <c r="E18" s="15">
        <f t="shared" si="4"/>
        <v>0.18690765517677183</v>
      </c>
      <c r="F18" s="15">
        <f t="shared" si="5"/>
        <v>1.6688842939381995E-2</v>
      </c>
      <c r="G18" s="15">
        <f t="shared" si="6"/>
        <v>2.143721898929157E-2</v>
      </c>
      <c r="I18" s="16">
        <v>-1.1433917279646266E-2</v>
      </c>
      <c r="J18" s="16">
        <v>-6.8023837229702622E-3</v>
      </c>
      <c r="K18" s="16">
        <v>-6.955519893381279E-3</v>
      </c>
      <c r="L18" s="16">
        <v>-5.2107679948676378E-3</v>
      </c>
      <c r="M18" s="16">
        <v>-3.6811115933232941E-3</v>
      </c>
      <c r="O18" s="15">
        <f t="shared" si="7"/>
        <v>1.1649557594581035</v>
      </c>
      <c r="P18" s="15">
        <f t="shared" si="0"/>
        <v>1.0468948312578772</v>
      </c>
      <c r="Q18" s="15">
        <f t="shared" si="0"/>
        <v>1.1799521352833906</v>
      </c>
      <c r="R18" s="15">
        <f t="shared" si="0"/>
        <v>1.0114780749445142</v>
      </c>
      <c r="S18" s="15">
        <f t="shared" si="0"/>
        <v>1.0177561073959682</v>
      </c>
      <c r="U18" s="14">
        <v>1</v>
      </c>
      <c r="W18" s="15">
        <f t="shared" si="8"/>
        <v>0.16495575945810348</v>
      </c>
      <c r="X18" s="15">
        <f t="shared" si="9"/>
        <v>4.689483125787719E-2</v>
      </c>
      <c r="Y18" s="15">
        <f t="shared" si="10"/>
        <v>0.1799521352833906</v>
      </c>
      <c r="Z18" s="15">
        <f t="shared" si="11"/>
        <v>1.1478074944514249E-2</v>
      </c>
      <c r="AA18" s="17">
        <f t="shared" si="12"/>
        <v>1.7756107395968224E-2</v>
      </c>
      <c r="AC18" s="15">
        <f t="shared" si="13"/>
        <v>39.894228040143268</v>
      </c>
      <c r="AD18" s="15">
        <f t="shared" si="14"/>
        <v>2.1582236781053353E-29</v>
      </c>
      <c r="AE18" s="24">
        <f t="shared" si="15"/>
        <v>12.958801545629358</v>
      </c>
      <c r="AF18" s="15">
        <f t="shared" si="16"/>
        <v>2.8249427085164119E-50</v>
      </c>
      <c r="AG18" s="17">
        <f t="shared" si="17"/>
        <v>3.5482626681405394E-46</v>
      </c>
      <c r="AH18" s="17"/>
      <c r="AI18" s="18">
        <f t="shared" si="18"/>
        <v>12.958801545629358</v>
      </c>
      <c r="AK18" s="15">
        <f t="shared" si="19"/>
        <v>1.6654500576353404E-30</v>
      </c>
      <c r="AL18" s="15">
        <f t="shared" si="20"/>
        <v>1</v>
      </c>
      <c r="AM18" s="15">
        <f t="shared" si="21"/>
        <v>2.1799413306620057E-51</v>
      </c>
      <c r="AN18" s="15">
        <f t="shared" si="22"/>
        <v>2.7381101991929718E-47</v>
      </c>
      <c r="AP18" s="14">
        <v>15</v>
      </c>
      <c r="AQ18" s="15">
        <f t="shared" si="23"/>
        <v>0</v>
      </c>
      <c r="AR18" s="15">
        <f t="shared" si="1"/>
        <v>1</v>
      </c>
      <c r="AS18" s="15">
        <f t="shared" si="1"/>
        <v>0</v>
      </c>
      <c r="AT18" s="17">
        <f t="shared" si="1"/>
        <v>0</v>
      </c>
      <c r="AV18" s="15">
        <f t="shared" si="25"/>
        <v>0</v>
      </c>
      <c r="AW18" s="15">
        <f t="shared" si="24"/>
        <v>1</v>
      </c>
      <c r="AX18" s="15">
        <f t="shared" si="24"/>
        <v>0</v>
      </c>
      <c r="AY18" s="15">
        <f t="shared" si="24"/>
        <v>0</v>
      </c>
    </row>
    <row r="19" spans="1:51" s="7" customFormat="1" x14ac:dyDescent="0.3">
      <c r="A19" s="10">
        <v>16</v>
      </c>
      <c r="C19" s="7">
        <f t="shared" si="2"/>
        <v>0.19728060092101962</v>
      </c>
      <c r="D19" s="7">
        <f t="shared" si="3"/>
        <v>6.4301790485797664E-2</v>
      </c>
      <c r="E19" s="7">
        <f t="shared" si="4"/>
        <v>0.18721324787076532</v>
      </c>
      <c r="F19" s="7">
        <f t="shared" si="5"/>
        <v>1.6693864780642494E-2</v>
      </c>
      <c r="G19" s="7">
        <f t="shared" si="6"/>
        <v>2.4048389885681112E-2</v>
      </c>
      <c r="I19">
        <v>1.0420853868708946E-2</v>
      </c>
      <c r="J19">
        <v>-2.2457425075117499E-2</v>
      </c>
      <c r="K19">
        <v>1.1758061191358138E-3</v>
      </c>
      <c r="L19">
        <v>-5.5404711929440964E-3</v>
      </c>
      <c r="M19">
        <v>-1.6890453480300494E-3</v>
      </c>
      <c r="O19" s="7">
        <f t="shared" si="7"/>
        <v>1.2077014547897287</v>
      </c>
      <c r="P19" s="7">
        <f t="shared" si="7"/>
        <v>1.0418443654106802</v>
      </c>
      <c r="Q19" s="7">
        <f t="shared" si="7"/>
        <v>1.1883890539899011</v>
      </c>
      <c r="R19" s="7">
        <f t="shared" si="7"/>
        <v>1.0111533935876984</v>
      </c>
      <c r="S19" s="7">
        <f t="shared" si="7"/>
        <v>1.0223593445376511</v>
      </c>
      <c r="U19" s="10">
        <v>1</v>
      </c>
      <c r="W19" s="7">
        <f t="shared" si="8"/>
        <v>0.20770145478972868</v>
      </c>
      <c r="X19" s="7">
        <f t="shared" si="9"/>
        <v>4.1844365410680151E-2</v>
      </c>
      <c r="Y19" s="7">
        <f t="shared" si="10"/>
        <v>0.18838905398990113</v>
      </c>
      <c r="Z19" s="7">
        <f t="shared" si="11"/>
        <v>1.1153393587698401E-2</v>
      </c>
      <c r="AA19" s="8">
        <f t="shared" si="12"/>
        <v>2.2359344537651094E-2</v>
      </c>
      <c r="AC19" s="7">
        <f t="shared" si="13"/>
        <v>39.894228040143268</v>
      </c>
      <c r="AD19" s="7">
        <f t="shared" si="14"/>
        <v>7.3586879779446571E-59</v>
      </c>
      <c r="AE19" s="7">
        <f t="shared" si="15"/>
        <v>6.1804280295582297</v>
      </c>
      <c r="AF19" s="7">
        <f t="shared" si="16"/>
        <v>5.1814894829227298E-83</v>
      </c>
      <c r="AG19" s="8">
        <f t="shared" si="17"/>
        <v>1.0165903950578223E-73</v>
      </c>
      <c r="AH19" s="8"/>
      <c r="AI19" s="9">
        <f t="shared" si="18"/>
        <v>6.1804280295582297</v>
      </c>
      <c r="AK19" s="7">
        <f t="shared" si="19"/>
        <v>1.1906437455061907E-59</v>
      </c>
      <c r="AL19" s="7">
        <f t="shared" si="20"/>
        <v>1</v>
      </c>
      <c r="AM19" s="7">
        <f t="shared" si="21"/>
        <v>8.3837065299393147E-84</v>
      </c>
      <c r="AN19" s="7">
        <f t="shared" si="22"/>
        <v>1.6448543534459491E-74</v>
      </c>
      <c r="AP19" s="10">
        <v>16</v>
      </c>
      <c r="AQ19" s="7">
        <f t="shared" si="23"/>
        <v>0</v>
      </c>
      <c r="AR19" s="7">
        <f t="shared" si="23"/>
        <v>1</v>
      </c>
      <c r="AS19" s="7">
        <f t="shared" si="23"/>
        <v>0</v>
      </c>
      <c r="AT19" s="8">
        <f t="shared" si="23"/>
        <v>0</v>
      </c>
      <c r="AV19" s="7">
        <f t="shared" si="25"/>
        <v>0</v>
      </c>
      <c r="AW19" s="7">
        <f t="shared" si="24"/>
        <v>1</v>
      </c>
      <c r="AX19" s="7">
        <f t="shared" si="24"/>
        <v>0</v>
      </c>
      <c r="AY19" s="7">
        <f t="shared" si="24"/>
        <v>0</v>
      </c>
    </row>
    <row r="20" spans="1:51" s="7" customFormat="1" x14ac:dyDescent="0.3">
      <c r="A20" s="10">
        <v>17</v>
      </c>
      <c r="C20" s="7">
        <f t="shared" si="2"/>
        <v>0.22068712557941667</v>
      </c>
      <c r="D20" s="7">
        <f t="shared" si="3"/>
        <v>7.7254248256661662E-2</v>
      </c>
      <c r="E20" s="7">
        <f t="shared" si="4"/>
        <v>0.1875193605141704</v>
      </c>
      <c r="F20" s="7">
        <f t="shared" si="5"/>
        <v>1.6698897178850557E-2</v>
      </c>
      <c r="G20" s="7">
        <f t="shared" si="6"/>
        <v>2.7037568802830377E-2</v>
      </c>
      <c r="I20">
        <v>1.6949206838035025E-2</v>
      </c>
      <c r="J20">
        <v>-5.8436171457287855E-3</v>
      </c>
      <c r="K20">
        <v>-1.0553435458859894E-2</v>
      </c>
      <c r="L20">
        <v>-2.5475401344010606E-3</v>
      </c>
      <c r="M20">
        <v>1.8536866264184937E-2</v>
      </c>
      <c r="O20" s="7">
        <f t="shared" si="7"/>
        <v>1.2376363324174517</v>
      </c>
      <c r="P20" s="7">
        <f t="shared" si="7"/>
        <v>1.0714106311109328</v>
      </c>
      <c r="Q20" s="7">
        <f t="shared" si="7"/>
        <v>1.1769659250553106</v>
      </c>
      <c r="R20" s="7">
        <f t="shared" si="7"/>
        <v>1.0141513570444496</v>
      </c>
      <c r="S20" s="7">
        <f t="shared" si="7"/>
        <v>1.0455744350670153</v>
      </c>
      <c r="U20" s="10">
        <v>1</v>
      </c>
      <c r="W20" s="7">
        <f t="shared" si="8"/>
        <v>0.23763633241745175</v>
      </c>
      <c r="X20" s="7">
        <f t="shared" si="9"/>
        <v>7.1410631110932821E-2</v>
      </c>
      <c r="Y20" s="7">
        <f t="shared" si="10"/>
        <v>0.17696592505531061</v>
      </c>
      <c r="Z20" s="7">
        <f t="shared" si="11"/>
        <v>1.4151357044449586E-2</v>
      </c>
      <c r="AA20" s="8">
        <f t="shared" si="12"/>
        <v>4.5574435067015306E-2</v>
      </c>
      <c r="AC20" s="7">
        <f t="shared" si="13"/>
        <v>39.894228040143268</v>
      </c>
      <c r="AD20" s="7">
        <f t="shared" si="14"/>
        <v>3.9901677204223889E-59</v>
      </c>
      <c r="AE20" s="7">
        <f t="shared" si="15"/>
        <v>4.0545335750420671E-7</v>
      </c>
      <c r="AF20" s="7">
        <f t="shared" si="16"/>
        <v>1.3981717855785547E-107</v>
      </c>
      <c r="AG20" s="8">
        <f t="shared" si="17"/>
        <v>3.1632245358699577E-79</v>
      </c>
      <c r="AH20" s="8"/>
      <c r="AI20" s="9">
        <f t="shared" si="18"/>
        <v>4.0545335750420671E-7</v>
      </c>
      <c r="AK20" s="7">
        <f t="shared" si="19"/>
        <v>9.8412496692199416E-53</v>
      </c>
      <c r="AL20" s="7">
        <f t="shared" si="20"/>
        <v>1</v>
      </c>
      <c r="AM20" s="7">
        <f t="shared" si="21"/>
        <v>3.4484158527754904E-101</v>
      </c>
      <c r="AN20" s="7">
        <f t="shared" si="22"/>
        <v>7.8016977226218631E-73</v>
      </c>
      <c r="AP20" s="10">
        <v>17</v>
      </c>
      <c r="AQ20" s="7">
        <f t="shared" si="23"/>
        <v>0</v>
      </c>
      <c r="AR20" s="7">
        <f t="shared" si="23"/>
        <v>1</v>
      </c>
      <c r="AS20" s="7">
        <f t="shared" si="23"/>
        <v>0</v>
      </c>
      <c r="AT20" s="8">
        <f t="shared" si="23"/>
        <v>0</v>
      </c>
      <c r="AV20" s="7">
        <f t="shared" si="25"/>
        <v>0</v>
      </c>
      <c r="AW20" s="7">
        <f t="shared" si="25"/>
        <v>1</v>
      </c>
      <c r="AX20" s="7">
        <f t="shared" si="25"/>
        <v>0</v>
      </c>
      <c r="AY20" s="7">
        <f t="shared" ref="AY20:AY41" si="26">IF(AT20&lt;0.3,0,AT20)</f>
        <v>0</v>
      </c>
    </row>
    <row r="21" spans="1:51" s="7" customFormat="1" x14ac:dyDescent="0.3">
      <c r="A21" s="10">
        <v>18</v>
      </c>
      <c r="C21" s="7">
        <f t="shared" si="2"/>
        <v>0.2469121691331575</v>
      </c>
      <c r="D21" s="7">
        <f t="shared" si="3"/>
        <v>9.3074415902948043E-2</v>
      </c>
      <c r="E21" s="7">
        <f t="shared" si="4"/>
        <v>0.18782599399165278</v>
      </c>
      <c r="F21" s="7">
        <f t="shared" si="5"/>
        <v>1.6703940156199061E-2</v>
      </c>
      <c r="G21" s="7">
        <f t="shared" si="6"/>
        <v>3.0459478341989331E-2</v>
      </c>
      <c r="I21">
        <v>8.6678710431442596E-3</v>
      </c>
      <c r="J21">
        <v>-6.7513838075683452E-3</v>
      </c>
      <c r="K21">
        <v>-1.0143116924155038E-2</v>
      </c>
      <c r="L21">
        <v>6.730260793119669E-3</v>
      </c>
      <c r="M21">
        <v>-5.9811895880557131E-3</v>
      </c>
      <c r="O21" s="7">
        <f t="shared" si="7"/>
        <v>1.2555800401763018</v>
      </c>
      <c r="P21" s="7">
        <f t="shared" si="7"/>
        <v>1.0863230320953796</v>
      </c>
      <c r="Q21" s="7">
        <f t="shared" si="7"/>
        <v>1.1776828770674976</v>
      </c>
      <c r="R21" s="7">
        <f t="shared" si="7"/>
        <v>1.0234342009493187</v>
      </c>
      <c r="S21" s="7">
        <f t="shared" si="7"/>
        <v>1.0244782887539337</v>
      </c>
      <c r="U21" s="10">
        <v>1</v>
      </c>
      <c r="W21" s="7">
        <f t="shared" si="8"/>
        <v>0.25558004017630176</v>
      </c>
      <c r="X21" s="7">
        <f t="shared" si="9"/>
        <v>8.6323032095379615E-2</v>
      </c>
      <c r="Y21" s="7">
        <f t="shared" si="10"/>
        <v>0.17768287706749764</v>
      </c>
      <c r="Z21" s="7">
        <f t="shared" si="11"/>
        <v>2.3434200949318695E-2</v>
      </c>
      <c r="AA21" s="8">
        <f t="shared" si="12"/>
        <v>2.4478288753933652E-2</v>
      </c>
      <c r="AC21" s="7">
        <f t="shared" si="13"/>
        <v>39.894228040143268</v>
      </c>
      <c r="AD21" s="7">
        <f t="shared" si="14"/>
        <v>2.4700747241967436E-61</v>
      </c>
      <c r="AE21" s="7">
        <f t="shared" si="15"/>
        <v>2.6575713162445476E-12</v>
      </c>
      <c r="AF21" s="7">
        <f t="shared" si="16"/>
        <v>3.7721649279691805E-116</v>
      </c>
      <c r="AG21" s="8">
        <f t="shared" si="17"/>
        <v>4.2351544387170484E-115</v>
      </c>
      <c r="AH21" s="8"/>
      <c r="AI21" s="9">
        <f t="shared" si="18"/>
        <v>2.6575713162445476E-12</v>
      </c>
      <c r="AK21" s="7">
        <f t="shared" si="19"/>
        <v>9.2944814278295327E-50</v>
      </c>
      <c r="AL21" s="7">
        <f t="shared" si="20"/>
        <v>1</v>
      </c>
      <c r="AM21" s="7">
        <f t="shared" si="21"/>
        <v>1.4194030861605179E-104</v>
      </c>
      <c r="AN21" s="7">
        <f t="shared" si="22"/>
        <v>1.5936183585476856E-103</v>
      </c>
      <c r="AP21" s="10">
        <v>18</v>
      </c>
      <c r="AQ21" s="7">
        <f t="shared" si="23"/>
        <v>0</v>
      </c>
      <c r="AR21" s="7">
        <f t="shared" si="23"/>
        <v>1</v>
      </c>
      <c r="AS21" s="7">
        <f t="shared" si="23"/>
        <v>0</v>
      </c>
      <c r="AT21" s="8">
        <f t="shared" si="23"/>
        <v>0</v>
      </c>
      <c r="AV21" s="7">
        <f t="shared" si="25"/>
        <v>0</v>
      </c>
      <c r="AW21" s="7">
        <f t="shared" si="25"/>
        <v>1</v>
      </c>
      <c r="AX21" s="7">
        <f t="shared" si="25"/>
        <v>0</v>
      </c>
      <c r="AY21" s="7">
        <f t="shared" si="26"/>
        <v>0</v>
      </c>
    </row>
    <row r="22" spans="1:51" s="7" customFormat="1" x14ac:dyDescent="0.3">
      <c r="A22" s="10">
        <v>19</v>
      </c>
      <c r="C22" s="7">
        <f t="shared" si="2"/>
        <v>0.2762951262117031</v>
      </c>
      <c r="D22" s="7">
        <f t="shared" si="3"/>
        <v>0.11239721230067853</v>
      </c>
      <c r="E22" s="7">
        <f t="shared" si="4"/>
        <v>0.18813314918938345</v>
      </c>
      <c r="F22" s="7">
        <f t="shared" si="5"/>
        <v>1.6708993734927555E-2</v>
      </c>
      <c r="G22" s="7">
        <f t="shared" si="6"/>
        <v>3.437676306088272E-2</v>
      </c>
      <c r="I22">
        <v>-6.1476043811126146E-3</v>
      </c>
      <c r="J22">
        <v>-9.476002560404595E-3</v>
      </c>
      <c r="K22">
        <v>-8.1471625890117139E-3</v>
      </c>
      <c r="L22">
        <v>-1.387149950460298E-3</v>
      </c>
      <c r="M22">
        <v>-4.7043613449204713E-5</v>
      </c>
      <c r="O22" s="7">
        <f t="shared" si="7"/>
        <v>1.2701475218305904</v>
      </c>
      <c r="P22" s="7">
        <f t="shared" si="7"/>
        <v>1.1029212097402739</v>
      </c>
      <c r="Q22" s="7">
        <f t="shared" si="7"/>
        <v>1.1799859866003717</v>
      </c>
      <c r="R22" s="7">
        <f t="shared" si="7"/>
        <v>1.0153218437844673</v>
      </c>
      <c r="S22" s="7">
        <f t="shared" si="7"/>
        <v>1.0343297194474335</v>
      </c>
      <c r="U22" s="10">
        <v>1</v>
      </c>
      <c r="W22" s="7">
        <f t="shared" si="8"/>
        <v>0.27014752183059043</v>
      </c>
      <c r="X22" s="7">
        <f t="shared" si="9"/>
        <v>0.10292120974027386</v>
      </c>
      <c r="Y22" s="7">
        <f t="shared" si="10"/>
        <v>0.17998598660037168</v>
      </c>
      <c r="Z22" s="7">
        <f t="shared" si="11"/>
        <v>1.5321843784467326E-2</v>
      </c>
      <c r="AA22" s="8">
        <f t="shared" si="12"/>
        <v>3.432971944743346E-2</v>
      </c>
      <c r="AC22" s="7">
        <f t="shared" si="13"/>
        <v>39.894228040143268</v>
      </c>
      <c r="AD22" s="7">
        <f t="shared" si="14"/>
        <v>7.5243163483214193E-60</v>
      </c>
      <c r="AE22" s="7">
        <f t="shared" si="15"/>
        <v>8.8876800910409516E-17</v>
      </c>
      <c r="AF22" s="7">
        <f t="shared" si="16"/>
        <v>3.9255784399744909E-140</v>
      </c>
      <c r="AG22" s="8">
        <f t="shared" si="17"/>
        <v>7.0024718486647735E-120</v>
      </c>
      <c r="AH22" s="8"/>
      <c r="AI22" s="9">
        <f t="shared" si="18"/>
        <v>8.8876800910409516E-17</v>
      </c>
      <c r="AK22" s="7">
        <f t="shared" si="19"/>
        <v>8.4660071821286138E-44</v>
      </c>
      <c r="AL22" s="7">
        <f t="shared" si="20"/>
        <v>1</v>
      </c>
      <c r="AM22" s="7">
        <f t="shared" si="21"/>
        <v>4.4168763949228909E-124</v>
      </c>
      <c r="AN22" s="7">
        <f t="shared" si="22"/>
        <v>7.8788522729609439E-104</v>
      </c>
      <c r="AP22" s="10">
        <v>19</v>
      </c>
      <c r="AQ22" s="7">
        <f t="shared" si="23"/>
        <v>0</v>
      </c>
      <c r="AR22" s="7">
        <f t="shared" si="23"/>
        <v>1</v>
      </c>
      <c r="AS22" s="7">
        <f t="shared" si="23"/>
        <v>0</v>
      </c>
      <c r="AT22" s="8">
        <f t="shared" si="23"/>
        <v>0</v>
      </c>
      <c r="AV22" s="7">
        <f t="shared" si="25"/>
        <v>0</v>
      </c>
      <c r="AW22" s="7">
        <f t="shared" si="25"/>
        <v>1</v>
      </c>
      <c r="AX22" s="7">
        <f t="shared" si="25"/>
        <v>0</v>
      </c>
      <c r="AY22" s="7">
        <f t="shared" si="26"/>
        <v>0</v>
      </c>
    </row>
    <row r="23" spans="1:51" s="7" customFormat="1" x14ac:dyDescent="0.3">
      <c r="A23" s="10">
        <v>20</v>
      </c>
      <c r="C23" s="7">
        <f t="shared" si="2"/>
        <v>0.30921625997113594</v>
      </c>
      <c r="D23" s="7">
        <f t="shared" si="3"/>
        <v>0.13599812911623399</v>
      </c>
      <c r="E23" s="7">
        <f t="shared" si="4"/>
        <v>0.18844082699504117</v>
      </c>
      <c r="F23" s="7">
        <f t="shared" si="5"/>
        <v>1.6714057937322325E-2</v>
      </c>
      <c r="G23" s="7">
        <f t="shared" si="6"/>
        <v>3.8861136301400125E-2</v>
      </c>
      <c r="I23">
        <v>8.5857436715741642E-3</v>
      </c>
      <c r="J23">
        <v>1.798580342438072E-2</v>
      </c>
      <c r="K23">
        <v>8.7248054114752449E-3</v>
      </c>
      <c r="L23">
        <v>-6.0040747484890744E-3</v>
      </c>
      <c r="M23">
        <v>-6.5443259700259659E-3</v>
      </c>
      <c r="O23" s="7">
        <f t="shared" si="7"/>
        <v>1.3178020036427101</v>
      </c>
      <c r="P23" s="7">
        <f t="shared" si="7"/>
        <v>1.1539839325406147</v>
      </c>
      <c r="Q23" s="7">
        <f t="shared" si="7"/>
        <v>1.1971656324065165</v>
      </c>
      <c r="R23" s="7">
        <f t="shared" si="7"/>
        <v>1.0107099831888333</v>
      </c>
      <c r="S23" s="7">
        <f t="shared" si="7"/>
        <v>1.0323168103313742</v>
      </c>
      <c r="U23" s="10">
        <v>1</v>
      </c>
      <c r="W23" s="7">
        <f t="shared" si="8"/>
        <v>0.31780200364271005</v>
      </c>
      <c r="X23" s="7">
        <f t="shared" si="9"/>
        <v>0.15398393254061471</v>
      </c>
      <c r="Y23" s="7">
        <f t="shared" si="10"/>
        <v>0.19716563240651652</v>
      </c>
      <c r="Z23" s="7">
        <f t="shared" si="11"/>
        <v>1.0709983188833316E-2</v>
      </c>
      <c r="AA23" s="8">
        <f t="shared" si="12"/>
        <v>3.2316810331374235E-2</v>
      </c>
      <c r="AC23" s="7">
        <f t="shared" si="13"/>
        <v>39.894228040143268</v>
      </c>
      <c r="AD23" s="7">
        <f t="shared" si="14"/>
        <v>2.1207713256959522E-57</v>
      </c>
      <c r="AE23" s="7">
        <f t="shared" si="15"/>
        <v>9.9811589458048601E-31</v>
      </c>
      <c r="AF23" s="7">
        <f t="shared" si="16"/>
        <v>6.593244019465036E-204</v>
      </c>
      <c r="AG23" s="8">
        <f t="shared" si="17"/>
        <v>4.1880281714026331E-176</v>
      </c>
      <c r="AH23" s="8"/>
      <c r="AI23" s="9">
        <f t="shared" si="18"/>
        <v>9.9811589458048601E-31</v>
      </c>
      <c r="AK23" s="7">
        <f t="shared" si="19"/>
        <v>2.1247746250823155E-27</v>
      </c>
      <c r="AL23" s="7">
        <f t="shared" si="20"/>
        <v>1</v>
      </c>
      <c r="AM23" s="7">
        <f t="shared" si="21"/>
        <v>6.6056898354836997E-174</v>
      </c>
      <c r="AN23" s="7">
        <f t="shared" si="22"/>
        <v>4.1959337529264434E-146</v>
      </c>
      <c r="AP23" s="10">
        <v>20</v>
      </c>
      <c r="AQ23" s="7">
        <f t="shared" si="23"/>
        <v>0</v>
      </c>
      <c r="AR23" s="7">
        <f t="shared" si="23"/>
        <v>1</v>
      </c>
      <c r="AS23" s="7">
        <f t="shared" si="23"/>
        <v>0</v>
      </c>
      <c r="AT23" s="8">
        <f t="shared" si="23"/>
        <v>0</v>
      </c>
      <c r="AV23" s="7">
        <f t="shared" si="25"/>
        <v>0</v>
      </c>
      <c r="AW23" s="7">
        <f t="shared" si="25"/>
        <v>1</v>
      </c>
      <c r="AX23" s="7">
        <f t="shared" si="25"/>
        <v>0</v>
      </c>
      <c r="AY23" s="7">
        <f t="shared" si="26"/>
        <v>0</v>
      </c>
    </row>
    <row r="24" spans="1:51" s="7" customFormat="1" x14ac:dyDescent="0.3">
      <c r="A24" s="10">
        <v>21</v>
      </c>
      <c r="C24" s="7">
        <f t="shared" si="2"/>
        <v>0.34610162331660455</v>
      </c>
      <c r="D24" s="7">
        <f t="shared" si="3"/>
        <v>0.16482435400986198</v>
      </c>
      <c r="E24" s="7">
        <f t="shared" si="4"/>
        <v>0.18874902829781492</v>
      </c>
      <c r="F24" s="7">
        <f t="shared" si="5"/>
        <v>1.6719132785716507E-2</v>
      </c>
      <c r="G24" s="7">
        <f t="shared" si="6"/>
        <v>4.399469303861616E-2</v>
      </c>
      <c r="I24">
        <v>2.7356509235687554E-2</v>
      </c>
      <c r="J24">
        <v>-6.900086191308219E-3</v>
      </c>
      <c r="K24">
        <v>-7.4816625783569179E-3</v>
      </c>
      <c r="L24">
        <v>-1.3718499758397229E-2</v>
      </c>
      <c r="M24">
        <v>3.0792307370575145E-3</v>
      </c>
      <c r="O24" s="7">
        <f t="shared" si="7"/>
        <v>1.3734581325522921</v>
      </c>
      <c r="P24" s="7">
        <f t="shared" si="7"/>
        <v>1.1579242678185537</v>
      </c>
      <c r="Q24" s="7">
        <f t="shared" si="7"/>
        <v>1.1812673657194579</v>
      </c>
      <c r="R24" s="7">
        <f t="shared" si="7"/>
        <v>1.0030006330273193</v>
      </c>
      <c r="S24" s="7">
        <f t="shared" si="7"/>
        <v>1.0470739237756737</v>
      </c>
      <c r="U24" s="10">
        <v>1</v>
      </c>
      <c r="W24" s="7">
        <f t="shared" si="8"/>
        <v>0.3734581325522921</v>
      </c>
      <c r="X24" s="7">
        <f t="shared" si="9"/>
        <v>0.15792426781855373</v>
      </c>
      <c r="Y24" s="7">
        <f t="shared" si="10"/>
        <v>0.1812673657194579</v>
      </c>
      <c r="Z24" s="7">
        <f t="shared" si="11"/>
        <v>3.0006330273193438E-3</v>
      </c>
      <c r="AA24" s="8">
        <f t="shared" si="12"/>
        <v>4.7073923775673654E-2</v>
      </c>
      <c r="AC24" s="7">
        <f t="shared" si="13"/>
        <v>39.894228040143268</v>
      </c>
      <c r="AD24" s="7">
        <f t="shared" si="14"/>
        <v>5.3148602443744603E-100</v>
      </c>
      <c r="AE24" s="7">
        <f t="shared" si="15"/>
        <v>2.4694605361008804E-79</v>
      </c>
      <c r="AF24" s="7">
        <f t="shared" si="16"/>
        <v>3.8970096419009916E-297</v>
      </c>
      <c r="AG24" s="8">
        <f t="shared" si="17"/>
        <v>1.9108426976546707E-230</v>
      </c>
      <c r="AH24" s="8"/>
      <c r="AI24" s="9">
        <f t="shared" si="18"/>
        <v>2.4694605361008804E-79</v>
      </c>
      <c r="AK24" s="7">
        <f t="shared" si="19"/>
        <v>2.152235343175916E-21</v>
      </c>
      <c r="AL24" s="7">
        <f t="shared" si="20"/>
        <v>1</v>
      </c>
      <c r="AM24" s="7">
        <f t="shared" si="21"/>
        <v>1.5780813602529237E-218</v>
      </c>
      <c r="AN24" s="7">
        <f t="shared" si="22"/>
        <v>7.7378952597953589E-152</v>
      </c>
      <c r="AP24" s="10">
        <v>21</v>
      </c>
      <c r="AQ24" s="7">
        <f t="shared" si="23"/>
        <v>0</v>
      </c>
      <c r="AR24" s="7">
        <f t="shared" si="23"/>
        <v>1</v>
      </c>
      <c r="AS24" s="7">
        <f t="shared" si="23"/>
        <v>0</v>
      </c>
      <c r="AT24" s="8">
        <f t="shared" si="23"/>
        <v>0</v>
      </c>
      <c r="AV24" s="7">
        <f t="shared" si="25"/>
        <v>0</v>
      </c>
      <c r="AW24" s="7">
        <f t="shared" si="25"/>
        <v>1</v>
      </c>
      <c r="AX24" s="7">
        <f t="shared" si="25"/>
        <v>0</v>
      </c>
      <c r="AY24" s="7">
        <f t="shared" si="26"/>
        <v>0</v>
      </c>
    </row>
    <row r="25" spans="1:51" s="7" customFormat="1" x14ac:dyDescent="0.3">
      <c r="A25" s="10">
        <v>22</v>
      </c>
      <c r="C25" s="7">
        <f t="shared" si="2"/>
        <v>0.38742857271844344</v>
      </c>
      <c r="D25" s="7">
        <f t="shared" si="3"/>
        <v>0.20003278460228488</v>
      </c>
      <c r="E25" s="7">
        <f t="shared" si="4"/>
        <v>0.1890577539884068</v>
      </c>
      <c r="F25" s="7">
        <f t="shared" si="5"/>
        <v>1.6724218302490199E-2</v>
      </c>
      <c r="G25" s="7">
        <f t="shared" si="6"/>
        <v>4.9871412785337195E-2</v>
      </c>
      <c r="I25">
        <v>9.4699998953728937E-3</v>
      </c>
      <c r="J25">
        <v>1.498838173574768E-2</v>
      </c>
      <c r="K25">
        <v>-4.6679815568495542E-3</v>
      </c>
      <c r="L25">
        <v>-1.1622728379734326E-2</v>
      </c>
      <c r="M25">
        <v>-4.1494558900012635E-3</v>
      </c>
      <c r="O25" s="7">
        <f t="shared" si="7"/>
        <v>1.3968985726138163</v>
      </c>
      <c r="P25" s="7">
        <f t="shared" si="7"/>
        <v>1.2150211663380326</v>
      </c>
      <c r="Q25" s="7">
        <f t="shared" si="7"/>
        <v>1.1843897724315573</v>
      </c>
      <c r="R25" s="7">
        <f t="shared" si="7"/>
        <v>1.0051014899227559</v>
      </c>
      <c r="S25" s="7">
        <f t="shared" si="7"/>
        <v>1.045721956895336</v>
      </c>
      <c r="U25" s="10">
        <v>1</v>
      </c>
      <c r="W25" s="7">
        <f t="shared" si="8"/>
        <v>0.39689857261381634</v>
      </c>
      <c r="X25" s="7">
        <f t="shared" si="9"/>
        <v>0.21502116633803259</v>
      </c>
      <c r="Y25" s="7">
        <f t="shared" si="10"/>
        <v>0.1843897724315573</v>
      </c>
      <c r="Z25" s="7">
        <f t="shared" si="11"/>
        <v>5.1014899227559418E-3</v>
      </c>
      <c r="AA25" s="8">
        <f t="shared" si="12"/>
        <v>4.572195689533598E-2</v>
      </c>
      <c r="AC25" s="7">
        <f t="shared" si="13"/>
        <v>39.894228040143268</v>
      </c>
      <c r="AD25" s="7">
        <f t="shared" si="14"/>
        <v>5.8874248052455791E-71</v>
      </c>
      <c r="AE25" s="7">
        <f t="shared" si="15"/>
        <v>3.445382396322329E-97</v>
      </c>
      <c r="AF25" s="7">
        <f t="shared" si="16"/>
        <v>0</v>
      </c>
      <c r="AG25" s="8">
        <f t="shared" si="17"/>
        <v>6.3685661163263364E-267</v>
      </c>
      <c r="AH25" s="8"/>
      <c r="AI25" s="9">
        <f t="shared" si="18"/>
        <v>5.8874248052455791E-71</v>
      </c>
      <c r="AK25" s="7">
        <f t="shared" si="19"/>
        <v>1</v>
      </c>
      <c r="AL25" s="7">
        <f t="shared" si="20"/>
        <v>5.8521042905763505E-27</v>
      </c>
      <c r="AM25" s="7">
        <f t="shared" si="21"/>
        <v>0</v>
      </c>
      <c r="AN25" s="7">
        <f t="shared" si="22"/>
        <v>1.081723559450317E-196</v>
      </c>
      <c r="AP25" s="10">
        <v>22</v>
      </c>
      <c r="AQ25" s="7">
        <f t="shared" si="23"/>
        <v>1</v>
      </c>
      <c r="AR25" s="7">
        <f t="shared" si="23"/>
        <v>0</v>
      </c>
      <c r="AS25" s="7">
        <f t="shared" si="23"/>
        <v>0</v>
      </c>
      <c r="AT25" s="8">
        <f t="shared" si="23"/>
        <v>0</v>
      </c>
      <c r="AV25" s="7">
        <f t="shared" si="25"/>
        <v>1</v>
      </c>
      <c r="AW25" s="7">
        <f t="shared" si="25"/>
        <v>0</v>
      </c>
      <c r="AX25" s="7">
        <f t="shared" si="25"/>
        <v>0</v>
      </c>
      <c r="AY25" s="7">
        <f t="shared" si="26"/>
        <v>0</v>
      </c>
    </row>
    <row r="26" spans="1:51" s="7" customFormat="1" x14ac:dyDescent="0.3">
      <c r="A26" s="10">
        <v>23</v>
      </c>
      <c r="C26" s="7">
        <f t="shared" si="2"/>
        <v>0.43373194597969572</v>
      </c>
      <c r="D26" s="7">
        <f t="shared" si="3"/>
        <v>0.24303645883836078</v>
      </c>
      <c r="E26" s="7">
        <f t="shared" si="4"/>
        <v>0.18936700495903419</v>
      </c>
      <c r="F26" s="7">
        <f t="shared" si="5"/>
        <v>1.672931451007053E-2</v>
      </c>
      <c r="G26" s="7">
        <f t="shared" si="6"/>
        <v>5.6598880065698846E-2</v>
      </c>
      <c r="I26">
        <v>-8.2693077274598181E-3</v>
      </c>
      <c r="J26">
        <v>-6.4724645199021325E-3</v>
      </c>
      <c r="K26">
        <v>-1.1611746231210418E-3</v>
      </c>
      <c r="L26">
        <v>3.0882074497640133E-2</v>
      </c>
      <c r="M26">
        <v>-1.5586329027428292E-2</v>
      </c>
      <c r="O26" s="7">
        <f t="shared" si="7"/>
        <v>1.425462638252236</v>
      </c>
      <c r="P26" s="7">
        <f t="shared" si="7"/>
        <v>1.2365639943184585</v>
      </c>
      <c r="Q26" s="7">
        <f t="shared" si="7"/>
        <v>1.1882058303359131</v>
      </c>
      <c r="R26" s="7">
        <f t="shared" si="7"/>
        <v>1.0476113890077106</v>
      </c>
      <c r="S26" s="7">
        <f t="shared" si="7"/>
        <v>1.0410125510382706</v>
      </c>
      <c r="U26" s="10">
        <v>1</v>
      </c>
      <c r="W26" s="7">
        <f t="shared" si="8"/>
        <v>0.42546263825223596</v>
      </c>
      <c r="X26" s="7">
        <f t="shared" si="9"/>
        <v>0.23656399431845854</v>
      </c>
      <c r="Y26" s="7">
        <f t="shared" si="10"/>
        <v>0.18820583033591309</v>
      </c>
      <c r="Z26" s="7">
        <f t="shared" si="11"/>
        <v>4.7611389007710558E-2</v>
      </c>
      <c r="AA26" s="8">
        <f t="shared" si="12"/>
        <v>4.1012551038270617E-2</v>
      </c>
      <c r="AC26" s="7">
        <f t="shared" si="13"/>
        <v>39.894228040143268</v>
      </c>
      <c r="AD26" s="7">
        <f t="shared" si="14"/>
        <v>1.3089304066436581E-76</v>
      </c>
      <c r="AE26" s="7">
        <f t="shared" si="15"/>
        <v>2.3281253940644276E-121</v>
      </c>
      <c r="AF26" s="7">
        <f t="shared" si="16"/>
        <v>0</v>
      </c>
      <c r="AG26" s="8">
        <f t="shared" si="17"/>
        <v>0</v>
      </c>
      <c r="AH26" s="8"/>
      <c r="AI26" s="9">
        <f t="shared" si="18"/>
        <v>1.3089304066436581E-76</v>
      </c>
      <c r="AK26" s="7">
        <f t="shared" si="19"/>
        <v>1</v>
      </c>
      <c r="AL26" s="7">
        <f t="shared" si="20"/>
        <v>1.7786471933478692E-45</v>
      </c>
      <c r="AM26" s="7">
        <f t="shared" si="21"/>
        <v>0</v>
      </c>
      <c r="AN26" s="7">
        <f t="shared" si="22"/>
        <v>0</v>
      </c>
      <c r="AP26" s="10">
        <v>23</v>
      </c>
      <c r="AQ26" s="7">
        <f t="shared" si="23"/>
        <v>1</v>
      </c>
      <c r="AR26" s="7">
        <f t="shared" si="23"/>
        <v>0</v>
      </c>
      <c r="AS26" s="7">
        <f t="shared" si="23"/>
        <v>0</v>
      </c>
      <c r="AT26" s="8">
        <f t="shared" si="23"/>
        <v>0</v>
      </c>
      <c r="AV26" s="7">
        <f t="shared" si="25"/>
        <v>1</v>
      </c>
      <c r="AW26" s="7">
        <f t="shared" si="25"/>
        <v>0</v>
      </c>
      <c r="AX26" s="7">
        <f t="shared" si="25"/>
        <v>0</v>
      </c>
      <c r="AY26" s="7">
        <f t="shared" si="26"/>
        <v>0</v>
      </c>
    </row>
    <row r="27" spans="1:51" s="7" customFormat="1" x14ac:dyDescent="0.3">
      <c r="A27" s="10">
        <v>24</v>
      </c>
      <c r="C27" s="7">
        <f t="shared" si="2"/>
        <v>0.48561098390538021</v>
      </c>
      <c r="D27" s="7">
        <f t="shared" si="3"/>
        <v>0.29556126516132575</v>
      </c>
      <c r="E27" s="7">
        <f t="shared" si="4"/>
        <v>0.18967678210343261</v>
      </c>
      <c r="F27" s="7">
        <f t="shared" si="5"/>
        <v>1.673442143093179E-2</v>
      </c>
      <c r="G27" s="7">
        <f t="shared" si="6"/>
        <v>6.4300253954353209E-2</v>
      </c>
      <c r="I27">
        <v>4.8659558160579763E-3</v>
      </c>
      <c r="J27">
        <v>4.162791356066009E-3</v>
      </c>
      <c r="K27">
        <v>1.5016667020972818E-2</v>
      </c>
      <c r="L27">
        <v>5.3347093853517435E-3</v>
      </c>
      <c r="M27">
        <v>1.0079338608193211E-2</v>
      </c>
      <c r="O27" s="7">
        <f t="shared" si="7"/>
        <v>1.4904769397214381</v>
      </c>
      <c r="P27" s="7">
        <f t="shared" si="7"/>
        <v>1.2997240565173918</v>
      </c>
      <c r="Q27" s="7">
        <f t="shared" si="7"/>
        <v>1.2046934491244055</v>
      </c>
      <c r="R27" s="7">
        <f t="shared" si="7"/>
        <v>1.0220691308162835</v>
      </c>
      <c r="S27" s="7">
        <f t="shared" si="7"/>
        <v>1.0743795925625463</v>
      </c>
      <c r="U27" s="10">
        <v>1</v>
      </c>
      <c r="W27" s="7">
        <f t="shared" si="8"/>
        <v>0.49047693972143813</v>
      </c>
      <c r="X27" s="7">
        <f t="shared" si="9"/>
        <v>0.29972405651739176</v>
      </c>
      <c r="Y27" s="7">
        <f t="shared" si="10"/>
        <v>0.20469344912440546</v>
      </c>
      <c r="Z27" s="7">
        <f t="shared" si="11"/>
        <v>2.2069130816283478E-2</v>
      </c>
      <c r="AA27" s="8">
        <f t="shared" si="12"/>
        <v>7.4379592562546337E-2</v>
      </c>
      <c r="AC27" s="7">
        <f t="shared" si="13"/>
        <v>39.894228040143268</v>
      </c>
      <c r="AD27" s="7">
        <f t="shared" si="14"/>
        <v>3.8750425873786776E-78</v>
      </c>
      <c r="AE27" s="7">
        <f t="shared" si="15"/>
        <v>1.786378758169546E-176</v>
      </c>
      <c r="AF27" s="7">
        <f t="shared" si="16"/>
        <v>0</v>
      </c>
      <c r="AG27" s="8">
        <f t="shared" si="17"/>
        <v>0</v>
      </c>
      <c r="AH27" s="8"/>
      <c r="AI27" s="9">
        <f t="shared" si="18"/>
        <v>3.8750425873786776E-78</v>
      </c>
      <c r="AK27" s="7">
        <f t="shared" si="19"/>
        <v>1</v>
      </c>
      <c r="AL27" s="7">
        <f t="shared" si="20"/>
        <v>4.6099590337095237E-99</v>
      </c>
      <c r="AM27" s="7">
        <f t="shared" si="21"/>
        <v>0</v>
      </c>
      <c r="AN27" s="7">
        <f t="shared" si="22"/>
        <v>0</v>
      </c>
      <c r="AP27" s="10">
        <v>24</v>
      </c>
      <c r="AQ27" s="7">
        <f t="shared" si="23"/>
        <v>1</v>
      </c>
      <c r="AR27" s="7">
        <f t="shared" si="23"/>
        <v>0</v>
      </c>
      <c r="AS27" s="7">
        <f t="shared" si="23"/>
        <v>0</v>
      </c>
      <c r="AT27" s="8">
        <f t="shared" si="23"/>
        <v>0</v>
      </c>
      <c r="AV27" s="7">
        <f t="shared" si="25"/>
        <v>1</v>
      </c>
      <c r="AW27" s="7">
        <f t="shared" si="25"/>
        <v>0</v>
      </c>
      <c r="AX27" s="7">
        <f t="shared" si="25"/>
        <v>0</v>
      </c>
      <c r="AY27" s="7">
        <f t="shared" si="26"/>
        <v>0</v>
      </c>
    </row>
    <row r="28" spans="1:51" s="7" customFormat="1" x14ac:dyDescent="0.3">
      <c r="A28" s="10">
        <v>25</v>
      </c>
      <c r="C28" s="7">
        <f t="shared" si="2"/>
        <v>0.54373708545113697</v>
      </c>
      <c r="D28" s="7">
        <f t="shared" si="3"/>
        <v>0.35971520847602334</v>
      </c>
      <c r="E28" s="7">
        <f t="shared" si="4"/>
        <v>0.18998708631685826</v>
      </c>
      <c r="F28" s="7">
        <f t="shared" si="5"/>
        <v>1.6739539087595505E-2</v>
      </c>
      <c r="G28" s="7">
        <f t="shared" si="6"/>
        <v>7.3116522737403836E-2</v>
      </c>
      <c r="I28">
        <v>-6.8429471866693348E-3</v>
      </c>
      <c r="J28">
        <v>-9.5771611086092889E-3</v>
      </c>
      <c r="K28">
        <v>3.0305818654596806E-2</v>
      </c>
      <c r="L28">
        <v>-8.7887883637449704E-3</v>
      </c>
      <c r="M28">
        <v>-1.3192106962378602E-3</v>
      </c>
      <c r="O28" s="7">
        <f t="shared" si="7"/>
        <v>1.5368941382644676</v>
      </c>
      <c r="P28" s="7">
        <f t="shared" si="7"/>
        <v>1.3501380473674141</v>
      </c>
      <c r="Q28" s="7">
        <f t="shared" si="7"/>
        <v>1.220292904971455</v>
      </c>
      <c r="R28" s="7">
        <f t="shared" si="7"/>
        <v>1.0079507507238505</v>
      </c>
      <c r="S28" s="7">
        <f t="shared" si="7"/>
        <v>1.0717973120411659</v>
      </c>
      <c r="U28" s="10">
        <v>1</v>
      </c>
      <c r="W28" s="7">
        <f t="shared" si="8"/>
        <v>0.53689413826446764</v>
      </c>
      <c r="X28" s="7">
        <f t="shared" si="9"/>
        <v>0.35013804736741405</v>
      </c>
      <c r="Y28" s="7">
        <f t="shared" si="10"/>
        <v>0.22029290497145504</v>
      </c>
      <c r="Z28" s="7">
        <f t="shared" si="11"/>
        <v>7.9507507238505415E-3</v>
      </c>
      <c r="AA28" s="8">
        <f t="shared" si="12"/>
        <v>7.1797312041165906E-2</v>
      </c>
      <c r="AC28" s="7">
        <f t="shared" si="13"/>
        <v>39.894228040143268</v>
      </c>
      <c r="AD28" s="7">
        <f t="shared" si="14"/>
        <v>7.3223124869012998E-75</v>
      </c>
      <c r="AE28" s="7">
        <f t="shared" si="15"/>
        <v>8.7188924671667956E-217</v>
      </c>
      <c r="AF28" s="7">
        <f t="shared" si="16"/>
        <v>0</v>
      </c>
      <c r="AG28" s="8">
        <f t="shared" si="17"/>
        <v>0</v>
      </c>
      <c r="AH28" s="8"/>
      <c r="AI28" s="9">
        <f t="shared" si="18"/>
        <v>7.3223124869012998E-75</v>
      </c>
      <c r="AK28" s="7">
        <f t="shared" si="19"/>
        <v>1</v>
      </c>
      <c r="AL28" s="7">
        <f t="shared" si="20"/>
        <v>1.1907293608083243E-142</v>
      </c>
      <c r="AM28" s="7">
        <f t="shared" si="21"/>
        <v>0</v>
      </c>
      <c r="AN28" s="7">
        <f t="shared" si="22"/>
        <v>0</v>
      </c>
      <c r="AP28" s="10">
        <v>25</v>
      </c>
      <c r="AQ28" s="7">
        <f t="shared" si="23"/>
        <v>1</v>
      </c>
      <c r="AR28" s="7">
        <f t="shared" si="23"/>
        <v>0</v>
      </c>
      <c r="AS28" s="7">
        <f t="shared" si="23"/>
        <v>0</v>
      </c>
      <c r="AT28" s="8">
        <f t="shared" si="23"/>
        <v>0</v>
      </c>
      <c r="AV28" s="7">
        <f t="shared" si="25"/>
        <v>1</v>
      </c>
      <c r="AW28" s="7">
        <f t="shared" si="25"/>
        <v>0</v>
      </c>
      <c r="AX28" s="7">
        <f t="shared" si="25"/>
        <v>0</v>
      </c>
      <c r="AY28" s="7">
        <f t="shared" si="26"/>
        <v>0</v>
      </c>
    </row>
    <row r="29" spans="1:51" s="7" customFormat="1" x14ac:dyDescent="0.3">
      <c r="A29" s="10">
        <v>26</v>
      </c>
      <c r="C29" s="7">
        <f t="shared" si="2"/>
        <v>0.60886249671546011</v>
      </c>
      <c r="D29" s="7">
        <f t="shared" si="3"/>
        <v>0.43807301178744618</v>
      </c>
      <c r="E29" s="7">
        <f t="shared" si="4"/>
        <v>0.19029791849609054</v>
      </c>
      <c r="F29" s="7">
        <f t="shared" si="5"/>
        <v>1.674466750263055E-2</v>
      </c>
      <c r="G29" s="7">
        <f t="shared" si="6"/>
        <v>8.3209084970942371E-2</v>
      </c>
      <c r="I29">
        <v>6.1504579207394272E-4</v>
      </c>
      <c r="J29">
        <v>-1.6588046491960995E-3</v>
      </c>
      <c r="K29">
        <v>-3.6434812500374392E-3</v>
      </c>
      <c r="L29">
        <v>3.4617755773069803E-3</v>
      </c>
      <c r="M29">
        <v>1.264643287868239E-2</v>
      </c>
      <c r="O29" s="7">
        <f t="shared" si="7"/>
        <v>1.6094775425075341</v>
      </c>
      <c r="P29" s="7">
        <f t="shared" si="7"/>
        <v>1.4364142071382502</v>
      </c>
      <c r="Q29" s="7">
        <f t="shared" si="7"/>
        <v>1.186654437246053</v>
      </c>
      <c r="R29" s="7">
        <f t="shared" si="7"/>
        <v>1.0202064430799376</v>
      </c>
      <c r="S29" s="7">
        <f t="shared" si="7"/>
        <v>1.0958555178496248</v>
      </c>
      <c r="U29" s="10">
        <v>1</v>
      </c>
      <c r="W29" s="7">
        <f t="shared" si="8"/>
        <v>0.60947754250753405</v>
      </c>
      <c r="X29" s="7">
        <f t="shared" si="9"/>
        <v>0.43641420713825019</v>
      </c>
      <c r="Y29" s="7">
        <f t="shared" si="10"/>
        <v>0.18665443724605302</v>
      </c>
      <c r="Z29" s="7">
        <f t="shared" si="11"/>
        <v>2.0206443079937575E-2</v>
      </c>
      <c r="AA29" s="8">
        <f t="shared" si="12"/>
        <v>9.5855517849624761E-2</v>
      </c>
      <c r="AC29" s="7">
        <f t="shared" si="13"/>
        <v>39.894228040143268</v>
      </c>
      <c r="AD29" s="7">
        <f t="shared" si="14"/>
        <v>3.6586248716907561E-64</v>
      </c>
      <c r="AE29" s="7">
        <f t="shared" si="15"/>
        <v>0</v>
      </c>
      <c r="AF29" s="7">
        <f t="shared" si="16"/>
        <v>0</v>
      </c>
      <c r="AG29" s="8">
        <f t="shared" si="17"/>
        <v>0</v>
      </c>
      <c r="AH29" s="8"/>
      <c r="AI29" s="9">
        <f t="shared" si="18"/>
        <v>3.6586248716907561E-64</v>
      </c>
      <c r="AK29" s="7">
        <f t="shared" si="19"/>
        <v>1</v>
      </c>
      <c r="AL29" s="7">
        <f t="shared" si="20"/>
        <v>0</v>
      </c>
      <c r="AM29" s="7">
        <f t="shared" si="21"/>
        <v>0</v>
      </c>
      <c r="AN29" s="7">
        <f t="shared" si="22"/>
        <v>0</v>
      </c>
      <c r="AP29" s="10">
        <v>26</v>
      </c>
      <c r="AQ29" s="7">
        <f t="shared" si="23"/>
        <v>1</v>
      </c>
      <c r="AR29" s="7">
        <f t="shared" si="23"/>
        <v>0</v>
      </c>
      <c r="AS29" s="7">
        <f t="shared" si="23"/>
        <v>0</v>
      </c>
      <c r="AT29" s="8">
        <f t="shared" si="23"/>
        <v>0</v>
      </c>
      <c r="AV29" s="7">
        <f t="shared" si="25"/>
        <v>1</v>
      </c>
      <c r="AW29" s="7">
        <f t="shared" si="25"/>
        <v>0</v>
      </c>
      <c r="AX29" s="7">
        <f t="shared" si="25"/>
        <v>0</v>
      </c>
      <c r="AY29" s="7">
        <f t="shared" si="26"/>
        <v>0</v>
      </c>
    </row>
    <row r="30" spans="1:51" s="7" customFormat="1" x14ac:dyDescent="0.3">
      <c r="A30" s="10">
        <v>27</v>
      </c>
      <c r="C30" s="7">
        <f t="shared" si="2"/>
        <v>0.68183004622518362</v>
      </c>
      <c r="D30" s="7">
        <f t="shared" si="3"/>
        <v>0.53377944887539097</v>
      </c>
      <c r="E30" s="7">
        <f t="shared" si="4"/>
        <v>0.19060927953943463</v>
      </c>
      <c r="F30" s="7">
        <f t="shared" si="5"/>
        <v>1.6749806698653242E-2</v>
      </c>
      <c r="G30" s="7">
        <f t="shared" si="6"/>
        <v>9.4762704188368574E-2</v>
      </c>
      <c r="I30">
        <v>-3.2812067729537375E-3</v>
      </c>
      <c r="J30">
        <v>1.8736682250164449E-2</v>
      </c>
      <c r="K30">
        <v>1.3502176443580538E-2</v>
      </c>
      <c r="L30">
        <v>1.9451272237347439E-2</v>
      </c>
      <c r="M30">
        <v>1.1573274605325423E-2</v>
      </c>
      <c r="O30" s="7">
        <f t="shared" si="7"/>
        <v>1.6785488394522299</v>
      </c>
      <c r="P30" s="7">
        <f t="shared" si="7"/>
        <v>1.5525161311255555</v>
      </c>
      <c r="Q30" s="7">
        <f t="shared" si="7"/>
        <v>1.2041114559830151</v>
      </c>
      <c r="R30" s="7">
        <f t="shared" si="7"/>
        <v>1.0362010789360008</v>
      </c>
      <c r="S30" s="7">
        <f t="shared" si="7"/>
        <v>1.1063359787936939</v>
      </c>
      <c r="U30" s="10">
        <v>1</v>
      </c>
      <c r="W30" s="7">
        <f t="shared" si="8"/>
        <v>0.67854883945222988</v>
      </c>
      <c r="X30" s="7">
        <f t="shared" si="9"/>
        <v>0.55251613112555553</v>
      </c>
      <c r="Y30" s="7">
        <f t="shared" si="10"/>
        <v>0.20411145598301506</v>
      </c>
      <c r="Z30" s="7">
        <f t="shared" si="11"/>
        <v>3.6201078936000775E-2</v>
      </c>
      <c r="AA30" s="8">
        <f t="shared" si="12"/>
        <v>0.10633597879369394</v>
      </c>
      <c r="AC30" s="7">
        <f t="shared" si="13"/>
        <v>39.894228040143268</v>
      </c>
      <c r="AD30" s="7">
        <f t="shared" si="14"/>
        <v>1.2844387863456543E-33</v>
      </c>
      <c r="AE30" s="7">
        <f t="shared" si="15"/>
        <v>0</v>
      </c>
      <c r="AF30" s="7">
        <f t="shared" si="16"/>
        <v>0</v>
      </c>
      <c r="AG30" s="8">
        <f t="shared" si="17"/>
        <v>0</v>
      </c>
      <c r="AH30" s="8"/>
      <c r="AI30" s="9">
        <f t="shared" si="18"/>
        <v>1.2844387863456543E-33</v>
      </c>
      <c r="AK30" s="7">
        <f t="shared" si="19"/>
        <v>1</v>
      </c>
      <c r="AL30" s="7">
        <f t="shared" si="20"/>
        <v>0</v>
      </c>
      <c r="AM30" s="7">
        <f t="shared" si="21"/>
        <v>0</v>
      </c>
      <c r="AN30" s="7">
        <f t="shared" si="22"/>
        <v>0</v>
      </c>
      <c r="AP30" s="10">
        <v>27</v>
      </c>
      <c r="AQ30" s="7">
        <f t="shared" si="23"/>
        <v>1</v>
      </c>
      <c r="AR30" s="7">
        <f t="shared" si="23"/>
        <v>0</v>
      </c>
      <c r="AS30" s="7">
        <f t="shared" si="23"/>
        <v>0</v>
      </c>
      <c r="AT30" s="8">
        <f t="shared" si="23"/>
        <v>0</v>
      </c>
      <c r="AV30" s="7">
        <f t="shared" si="25"/>
        <v>1</v>
      </c>
      <c r="AW30" s="7">
        <f t="shared" si="25"/>
        <v>0</v>
      </c>
      <c r="AX30" s="7">
        <f t="shared" si="25"/>
        <v>0</v>
      </c>
      <c r="AY30" s="7">
        <f t="shared" si="26"/>
        <v>0</v>
      </c>
    </row>
    <row r="31" spans="1:51" s="7" customFormat="1" x14ac:dyDescent="0.3">
      <c r="A31" s="10">
        <v>28</v>
      </c>
      <c r="C31" s="7">
        <f t="shared" si="2"/>
        <v>0.76358405250461336</v>
      </c>
      <c r="D31" s="7">
        <f t="shared" si="3"/>
        <v>0.65067555510828834</v>
      </c>
      <c r="E31" s="7">
        <f t="shared" si="4"/>
        <v>0.19092117034672415</v>
      </c>
      <c r="F31" s="7">
        <f t="shared" si="5"/>
        <v>1.6754956698327446E-2</v>
      </c>
      <c r="G31" s="7">
        <f t="shared" si="6"/>
        <v>0.107988891348027</v>
      </c>
      <c r="I31">
        <v>3.2925072446232662E-3</v>
      </c>
      <c r="J31">
        <v>7.9819528764346614E-3</v>
      </c>
      <c r="K31">
        <v>1.8644550436874852E-2</v>
      </c>
      <c r="L31">
        <v>-6.5965423345915042E-3</v>
      </c>
      <c r="M31">
        <v>-1.2238342605996877E-2</v>
      </c>
      <c r="O31" s="7">
        <f t="shared" si="7"/>
        <v>1.7668765597492366</v>
      </c>
      <c r="P31" s="7">
        <f t="shared" si="7"/>
        <v>1.658657507984723</v>
      </c>
      <c r="Q31" s="7">
        <f t="shared" si="7"/>
        <v>1.209565720783599</v>
      </c>
      <c r="R31" s="7">
        <f t="shared" si="7"/>
        <v>1.0101584143637359</v>
      </c>
      <c r="S31" s="7">
        <f t="shared" si="7"/>
        <v>1.09575054874203</v>
      </c>
      <c r="U31" s="10">
        <v>1</v>
      </c>
      <c r="W31" s="7">
        <f t="shared" si="8"/>
        <v>0.76687655974923663</v>
      </c>
      <c r="X31" s="7">
        <f t="shared" si="9"/>
        <v>0.658657507984723</v>
      </c>
      <c r="Y31" s="7">
        <f t="shared" si="10"/>
        <v>0.20956572078359903</v>
      </c>
      <c r="Z31" s="7">
        <f t="shared" si="11"/>
        <v>1.0158414363735879E-2</v>
      </c>
      <c r="AA31" s="8">
        <f t="shared" si="12"/>
        <v>9.5750548742030039E-2</v>
      </c>
      <c r="AC31" s="7">
        <f t="shared" si="13"/>
        <v>39.894228040143268</v>
      </c>
      <c r="AD31" s="7">
        <f t="shared" si="14"/>
        <v>1.4791358921177051E-24</v>
      </c>
      <c r="AE31" s="7">
        <f t="shared" si="15"/>
        <v>0</v>
      </c>
      <c r="AF31" s="7">
        <f t="shared" si="16"/>
        <v>0</v>
      </c>
      <c r="AG31" s="8">
        <f t="shared" si="17"/>
        <v>0</v>
      </c>
      <c r="AH31" s="8"/>
      <c r="AI31" s="9">
        <f t="shared" si="18"/>
        <v>1.4791358921177051E-24</v>
      </c>
      <c r="AK31" s="7">
        <f t="shared" si="19"/>
        <v>1</v>
      </c>
      <c r="AL31" s="7">
        <f t="shared" si="20"/>
        <v>0</v>
      </c>
      <c r="AM31" s="7">
        <f t="shared" si="21"/>
        <v>0</v>
      </c>
      <c r="AN31" s="7">
        <f t="shared" si="22"/>
        <v>0</v>
      </c>
      <c r="AP31" s="10">
        <v>28</v>
      </c>
      <c r="AQ31" s="7">
        <f t="shared" si="23"/>
        <v>1</v>
      </c>
      <c r="AR31" s="7">
        <f t="shared" si="23"/>
        <v>0</v>
      </c>
      <c r="AS31" s="7">
        <f t="shared" si="23"/>
        <v>0</v>
      </c>
      <c r="AT31" s="8">
        <f t="shared" si="23"/>
        <v>0</v>
      </c>
      <c r="AV31" s="7">
        <f t="shared" si="25"/>
        <v>1</v>
      </c>
      <c r="AW31" s="7">
        <f t="shared" si="25"/>
        <v>0</v>
      </c>
      <c r="AX31" s="7">
        <f t="shared" si="25"/>
        <v>0</v>
      </c>
      <c r="AY31" s="7">
        <f t="shared" si="26"/>
        <v>0</v>
      </c>
    </row>
    <row r="32" spans="1:51" s="7" customFormat="1" x14ac:dyDescent="0.3">
      <c r="A32" s="10">
        <v>29</v>
      </c>
      <c r="C32" s="7">
        <f t="shared" si="2"/>
        <v>0.85518254508995717</v>
      </c>
      <c r="D32" s="7">
        <f t="shared" si="3"/>
        <v>0.79345278167933475</v>
      </c>
      <c r="E32" s="7">
        <f t="shared" si="4"/>
        <v>0.19123359181932378</v>
      </c>
      <c r="F32" s="7">
        <f t="shared" si="5"/>
        <v>1.6760117524364671E-2</v>
      </c>
      <c r="G32" s="7">
        <f t="shared" si="6"/>
        <v>0.12312977694329255</v>
      </c>
      <c r="I32">
        <v>-1.2752366274071392E-3</v>
      </c>
      <c r="J32">
        <v>-4.8461515689268708E-3</v>
      </c>
      <c r="K32">
        <v>-4.9886011765920557E-3</v>
      </c>
      <c r="L32">
        <v>-1.6326521290466189E-2</v>
      </c>
      <c r="M32">
        <v>1.4297961570264306E-2</v>
      </c>
      <c r="O32" s="7">
        <f t="shared" si="7"/>
        <v>1.8539073084625501</v>
      </c>
      <c r="P32" s="7">
        <f t="shared" si="7"/>
        <v>1.788606630110408</v>
      </c>
      <c r="Q32" s="7">
        <f t="shared" si="7"/>
        <v>1.1862449906427317</v>
      </c>
      <c r="R32" s="7">
        <f t="shared" si="7"/>
        <v>1.0004335962338984</v>
      </c>
      <c r="S32" s="7">
        <f t="shared" si="7"/>
        <v>1.1374277385135569</v>
      </c>
      <c r="U32" s="10">
        <v>1</v>
      </c>
      <c r="W32" s="7">
        <f t="shared" si="8"/>
        <v>0.85390730846255014</v>
      </c>
      <c r="X32" s="7">
        <f t="shared" si="9"/>
        <v>0.78860663011040799</v>
      </c>
      <c r="Y32" s="7">
        <f t="shared" si="10"/>
        <v>0.1862449906427317</v>
      </c>
      <c r="Z32" s="7">
        <f t="shared" si="11"/>
        <v>4.335962338983812E-4</v>
      </c>
      <c r="AA32" s="8">
        <f t="shared" si="12"/>
        <v>0.13742773851355694</v>
      </c>
      <c r="AC32" s="7">
        <f t="shared" si="13"/>
        <v>39.894228040143268</v>
      </c>
      <c r="AD32" s="7">
        <f t="shared" si="14"/>
        <v>2.1946430868107383E-8</v>
      </c>
      <c r="AE32" s="7">
        <f t="shared" si="15"/>
        <v>0</v>
      </c>
      <c r="AF32" s="7">
        <f t="shared" si="16"/>
        <v>0</v>
      </c>
      <c r="AG32" s="8">
        <f t="shared" si="17"/>
        <v>0</v>
      </c>
      <c r="AH32" s="8"/>
      <c r="AI32" s="9">
        <f t="shared" si="18"/>
        <v>2.1946430868107383E-8</v>
      </c>
      <c r="AK32" s="7">
        <f t="shared" si="19"/>
        <v>1</v>
      </c>
      <c r="AL32" s="7">
        <f t="shared" si="20"/>
        <v>0</v>
      </c>
      <c r="AM32" s="7">
        <f t="shared" si="21"/>
        <v>0</v>
      </c>
      <c r="AN32" s="7">
        <f t="shared" si="22"/>
        <v>0</v>
      </c>
      <c r="AP32" s="10">
        <v>29</v>
      </c>
      <c r="AQ32" s="7">
        <f t="shared" si="23"/>
        <v>1</v>
      </c>
      <c r="AR32" s="7">
        <f t="shared" si="23"/>
        <v>0</v>
      </c>
      <c r="AS32" s="7">
        <f t="shared" si="23"/>
        <v>0</v>
      </c>
      <c r="AT32" s="8">
        <f t="shared" si="23"/>
        <v>0</v>
      </c>
      <c r="AV32" s="7">
        <f t="shared" si="25"/>
        <v>1</v>
      </c>
      <c r="AW32" s="7">
        <f t="shared" si="25"/>
        <v>0</v>
      </c>
      <c r="AX32" s="7">
        <f t="shared" si="25"/>
        <v>0</v>
      </c>
      <c r="AY32" s="7">
        <f t="shared" si="26"/>
        <v>0</v>
      </c>
    </row>
    <row r="33" spans="1:51" s="26" customFormat="1" x14ac:dyDescent="0.3">
      <c r="A33" s="28">
        <v>30</v>
      </c>
      <c r="C33" s="26">
        <f t="shared" si="2"/>
        <v>0.95781095714880837</v>
      </c>
      <c r="D33" s="26">
        <f t="shared" si="3"/>
        <v>0.96784128001566905</v>
      </c>
      <c r="E33" s="26">
        <f t="shared" si="4"/>
        <v>0.19154654486013181</v>
      </c>
      <c r="F33" s="26">
        <f t="shared" si="5"/>
        <v>1.6765289199524164E-2</v>
      </c>
      <c r="G33" s="26">
        <f t="shared" si="6"/>
        <v>0.14046254366144026</v>
      </c>
      <c r="I33" s="29">
        <v>6.6184156821691431E-3</v>
      </c>
      <c r="J33" s="29">
        <v>8.1599864643067122E-4</v>
      </c>
      <c r="K33" s="29">
        <v>-6.7465748543327209E-3</v>
      </c>
      <c r="L33" s="29">
        <v>4.1219436752726324E-3</v>
      </c>
      <c r="M33" s="29">
        <v>-4.1177827370120212E-3</v>
      </c>
      <c r="O33" s="26">
        <f t="shared" si="7"/>
        <v>1.9644293728309776</v>
      </c>
      <c r="P33" s="26">
        <f t="shared" si="7"/>
        <v>1.9686572786620997</v>
      </c>
      <c r="Q33" s="26">
        <f t="shared" si="7"/>
        <v>1.1847999700057992</v>
      </c>
      <c r="R33" s="26">
        <f t="shared" si="7"/>
        <v>1.0208872328747969</v>
      </c>
      <c r="S33" s="26">
        <f t="shared" si="7"/>
        <v>1.1363447609244282</v>
      </c>
      <c r="U33" s="28">
        <v>1</v>
      </c>
      <c r="W33" s="26">
        <f t="shared" si="8"/>
        <v>0.96442937283097763</v>
      </c>
      <c r="X33" s="26">
        <f t="shared" si="9"/>
        <v>0.96865727866209972</v>
      </c>
      <c r="Y33" s="26">
        <f t="shared" si="10"/>
        <v>0.18479997000579917</v>
      </c>
      <c r="Z33" s="26">
        <f t="shared" si="11"/>
        <v>2.0887232874796879E-2</v>
      </c>
      <c r="AA33" s="30">
        <f t="shared" si="12"/>
        <v>0.13634476092442815</v>
      </c>
      <c r="AC33" s="26">
        <f t="shared" si="13"/>
        <v>39.894228040143268</v>
      </c>
      <c r="AD33" s="27">
        <f t="shared" si="14"/>
        <v>36.483339860146629</v>
      </c>
      <c r="AE33" s="26">
        <f t="shared" si="15"/>
        <v>0</v>
      </c>
      <c r="AF33" s="26">
        <f t="shared" si="16"/>
        <v>0</v>
      </c>
      <c r="AG33" s="30">
        <f t="shared" si="17"/>
        <v>0</v>
      </c>
      <c r="AH33" s="30"/>
      <c r="AI33" s="31">
        <f t="shared" si="18"/>
        <v>36.483339860146629</v>
      </c>
      <c r="AK33" s="26">
        <f t="shared" si="19"/>
        <v>1</v>
      </c>
      <c r="AL33" s="26">
        <f t="shared" si="20"/>
        <v>0</v>
      </c>
      <c r="AM33" s="26">
        <f t="shared" si="21"/>
        <v>0</v>
      </c>
      <c r="AN33" s="26">
        <f t="shared" si="22"/>
        <v>0</v>
      </c>
      <c r="AP33" s="28">
        <v>30</v>
      </c>
      <c r="AQ33" s="26">
        <f t="shared" si="23"/>
        <v>1</v>
      </c>
      <c r="AR33" s="26">
        <f t="shared" si="23"/>
        <v>0</v>
      </c>
      <c r="AS33" s="26">
        <f t="shared" si="23"/>
        <v>0</v>
      </c>
      <c r="AT33" s="30">
        <f t="shared" si="23"/>
        <v>0</v>
      </c>
      <c r="AV33" s="26">
        <f t="shared" si="25"/>
        <v>1</v>
      </c>
      <c r="AW33" s="26">
        <f t="shared" si="25"/>
        <v>0</v>
      </c>
      <c r="AX33" s="26">
        <f t="shared" si="25"/>
        <v>0</v>
      </c>
      <c r="AY33" s="26">
        <f t="shared" si="26"/>
        <v>0</v>
      </c>
    </row>
    <row r="34" spans="1:51" s="7" customFormat="1" x14ac:dyDescent="0.3">
      <c r="A34" s="10">
        <v>31</v>
      </c>
      <c r="C34" s="7">
        <f t="shared" si="2"/>
        <v>1.0727974669094131</v>
      </c>
      <c r="D34" s="7">
        <f t="shared" si="3"/>
        <v>1.1808398728750773</v>
      </c>
      <c r="E34" s="7">
        <f t="shared" si="4"/>
        <v>0.19186003037358268</v>
      </c>
      <c r="F34" s="7">
        <f t="shared" si="5"/>
        <v>1.6770471746613023E-2</v>
      </c>
      <c r="G34" s="7">
        <f t="shared" si="6"/>
        <v>0.16030450073954361</v>
      </c>
      <c r="I34">
        <v>-6.6027041611960158E-4</v>
      </c>
      <c r="J34">
        <v>7.2200691647594795E-3</v>
      </c>
      <c r="K34">
        <v>1.2652094483200926E-3</v>
      </c>
      <c r="L34">
        <v>2.4977907742140815E-3</v>
      </c>
      <c r="M34">
        <v>9.0414687292650342E-3</v>
      </c>
      <c r="O34" s="7">
        <f t="shared" si="7"/>
        <v>2.0721371964932933</v>
      </c>
      <c r="P34" s="7">
        <f t="shared" si="7"/>
        <v>2.1880599420398368</v>
      </c>
      <c r="Q34" s="7">
        <f t="shared" si="7"/>
        <v>1.1931252398219028</v>
      </c>
      <c r="R34" s="7">
        <f t="shared" si="7"/>
        <v>1.0192682625208271</v>
      </c>
      <c r="S34" s="7">
        <f t="shared" si="7"/>
        <v>1.1693459694688086</v>
      </c>
      <c r="U34" s="10">
        <v>1</v>
      </c>
      <c r="W34" s="7">
        <f t="shared" si="8"/>
        <v>1.0721371964932933</v>
      </c>
      <c r="X34" s="7">
        <f t="shared" si="9"/>
        <v>1.1880599420398368</v>
      </c>
      <c r="Y34" s="7">
        <f t="shared" si="10"/>
        <v>0.19312523982190277</v>
      </c>
      <c r="Z34" s="7">
        <f t="shared" si="11"/>
        <v>1.926826252082714E-2</v>
      </c>
      <c r="AA34" s="8">
        <f t="shared" si="12"/>
        <v>0.16934596946880864</v>
      </c>
      <c r="AC34" s="7">
        <f t="shared" si="13"/>
        <v>39.894228040143268</v>
      </c>
      <c r="AD34" s="7">
        <f t="shared" si="14"/>
        <v>2.6331993279068456E-28</v>
      </c>
      <c r="AE34" s="7">
        <f t="shared" si="15"/>
        <v>0</v>
      </c>
      <c r="AF34" s="7">
        <f t="shared" si="16"/>
        <v>0</v>
      </c>
      <c r="AG34" s="8">
        <f t="shared" si="17"/>
        <v>0</v>
      </c>
      <c r="AH34" s="8"/>
      <c r="AI34" s="9">
        <f t="shared" si="18"/>
        <v>2.6331993279068456E-28</v>
      </c>
      <c r="AK34" s="7">
        <f t="shared" si="19"/>
        <v>1</v>
      </c>
      <c r="AL34" s="7">
        <f t="shared" si="20"/>
        <v>0</v>
      </c>
      <c r="AM34" s="7">
        <f t="shared" si="21"/>
        <v>0</v>
      </c>
      <c r="AN34" s="7">
        <f t="shared" si="22"/>
        <v>0</v>
      </c>
      <c r="AP34" s="10">
        <v>31</v>
      </c>
      <c r="AQ34" s="7">
        <f t="shared" si="23"/>
        <v>1</v>
      </c>
      <c r="AR34" s="7">
        <f t="shared" si="23"/>
        <v>0</v>
      </c>
      <c r="AS34" s="7">
        <f t="shared" si="23"/>
        <v>0</v>
      </c>
      <c r="AT34" s="8">
        <f t="shared" si="23"/>
        <v>0</v>
      </c>
      <c r="AV34" s="7">
        <f t="shared" si="25"/>
        <v>1</v>
      </c>
      <c r="AW34" s="7">
        <f t="shared" si="25"/>
        <v>0</v>
      </c>
      <c r="AX34" s="7">
        <f t="shared" si="25"/>
        <v>0</v>
      </c>
      <c r="AY34" s="7">
        <f t="shared" si="26"/>
        <v>0</v>
      </c>
    </row>
    <row r="35" spans="1:51" s="7" customFormat="1" x14ac:dyDescent="0.3">
      <c r="A35" s="10">
        <v>32</v>
      </c>
      <c r="C35" s="7">
        <f t="shared" si="2"/>
        <v>1.2016301864427121</v>
      </c>
      <c r="D35" s="7">
        <f t="shared" si="3"/>
        <v>1.4409969416777966</v>
      </c>
      <c r="E35" s="7">
        <f t="shared" si="4"/>
        <v>0.19217404926564982</v>
      </c>
      <c r="F35" s="7">
        <f t="shared" si="5"/>
        <v>1.6775665188486288E-2</v>
      </c>
      <c r="G35" s="7">
        <f t="shared" si="6"/>
        <v>0.18301889291312998</v>
      </c>
      <c r="I35">
        <v>-6.2300614445121028E-3</v>
      </c>
      <c r="J35">
        <v>-1.5398381947306916E-2</v>
      </c>
      <c r="K35">
        <v>6.9623411036445759E-3</v>
      </c>
      <c r="L35">
        <v>5.5627879191888496E-3</v>
      </c>
      <c r="M35">
        <v>9.2706613941118121E-3</v>
      </c>
      <c r="O35" s="7">
        <f t="shared" si="7"/>
        <v>2.1954001249982</v>
      </c>
      <c r="P35" s="7">
        <f t="shared" si="7"/>
        <v>2.4255985597304894</v>
      </c>
      <c r="Q35" s="7">
        <f t="shared" si="7"/>
        <v>1.1991363903692944</v>
      </c>
      <c r="R35" s="7">
        <f t="shared" si="7"/>
        <v>1.0223384531076751</v>
      </c>
      <c r="S35" s="7">
        <f t="shared" si="7"/>
        <v>1.1922895543072418</v>
      </c>
      <c r="U35" s="10">
        <v>1</v>
      </c>
      <c r="W35" s="7">
        <f t="shared" si="8"/>
        <v>1.1954001249982</v>
      </c>
      <c r="X35" s="7">
        <f t="shared" si="9"/>
        <v>1.4255985597304894</v>
      </c>
      <c r="Y35" s="7">
        <f t="shared" si="10"/>
        <v>0.19913639036929442</v>
      </c>
      <c r="Z35" s="7">
        <f t="shared" si="11"/>
        <v>2.2338453107675127E-2</v>
      </c>
      <c r="AA35" s="8">
        <f t="shared" si="12"/>
        <v>0.19228955430724182</v>
      </c>
      <c r="AC35" s="7">
        <f t="shared" si="13"/>
        <v>39.894228040143268</v>
      </c>
      <c r="AD35" s="7">
        <f t="shared" si="14"/>
        <v>3.4019047254341041E-114</v>
      </c>
      <c r="AE35" s="7">
        <f t="shared" si="15"/>
        <v>0</v>
      </c>
      <c r="AF35" s="7">
        <f t="shared" si="16"/>
        <v>0</v>
      </c>
      <c r="AG35" s="8">
        <f t="shared" si="17"/>
        <v>0</v>
      </c>
      <c r="AH35" s="8"/>
      <c r="AI35" s="9">
        <f t="shared" si="18"/>
        <v>3.4019047254341041E-114</v>
      </c>
      <c r="AK35" s="7">
        <f t="shared" si="19"/>
        <v>1</v>
      </c>
      <c r="AL35" s="7">
        <f t="shared" si="20"/>
        <v>0</v>
      </c>
      <c r="AM35" s="7">
        <f t="shared" si="21"/>
        <v>0</v>
      </c>
      <c r="AN35" s="7">
        <f t="shared" si="22"/>
        <v>0</v>
      </c>
      <c r="AP35" s="10">
        <v>32</v>
      </c>
      <c r="AQ35" s="7">
        <f t="shared" si="23"/>
        <v>1</v>
      </c>
      <c r="AR35" s="7">
        <f t="shared" si="23"/>
        <v>0</v>
      </c>
      <c r="AS35" s="7">
        <f t="shared" si="23"/>
        <v>0</v>
      </c>
      <c r="AT35" s="8">
        <f t="shared" si="23"/>
        <v>0</v>
      </c>
      <c r="AV35" s="7">
        <f t="shared" si="25"/>
        <v>1</v>
      </c>
      <c r="AW35" s="7">
        <f t="shared" si="25"/>
        <v>0</v>
      </c>
      <c r="AX35" s="7">
        <f t="shared" si="25"/>
        <v>0</v>
      </c>
      <c r="AY35" s="7">
        <f t="shared" si="26"/>
        <v>0</v>
      </c>
    </row>
    <row r="36" spans="1:51" s="7" customFormat="1" x14ac:dyDescent="0.3">
      <c r="A36" s="10">
        <v>33</v>
      </c>
      <c r="C36" s="7">
        <f t="shared" si="2"/>
        <v>1.345976420247889</v>
      </c>
      <c r="D36" s="7">
        <f t="shared" si="3"/>
        <v>1.7587535030682999</v>
      </c>
      <c r="E36" s="7">
        <f t="shared" si="4"/>
        <v>0.19248860244384802</v>
      </c>
      <c r="F36" s="7">
        <f t="shared" si="5"/>
        <v>1.6780869548047046E-2</v>
      </c>
      <c r="G36" s="7">
        <f t="shared" si="6"/>
        <v>0.20902155030144035</v>
      </c>
      <c r="I36">
        <v>1.8903028831118718E-2</v>
      </c>
      <c r="J36">
        <v>5.7062379710259847E-3</v>
      </c>
      <c r="K36">
        <v>1.1763677321141586E-2</v>
      </c>
      <c r="L36">
        <v>-1.975342911464395E-3</v>
      </c>
      <c r="M36">
        <v>-1.0546750672801863E-2</v>
      </c>
      <c r="O36" s="7">
        <f t="shared" si="7"/>
        <v>2.3648794490790079</v>
      </c>
      <c r="P36" s="7">
        <f t="shared" si="7"/>
        <v>2.7644597410393259</v>
      </c>
      <c r="Q36" s="7">
        <f t="shared" si="7"/>
        <v>1.2042522797649897</v>
      </c>
      <c r="R36" s="7">
        <f t="shared" si="7"/>
        <v>1.0148055266365827</v>
      </c>
      <c r="S36" s="7">
        <f t="shared" si="7"/>
        <v>1.1984747996286385</v>
      </c>
      <c r="U36" s="10">
        <v>1</v>
      </c>
      <c r="W36" s="7">
        <f t="shared" si="8"/>
        <v>1.3648794490790079</v>
      </c>
      <c r="X36" s="7">
        <f t="shared" si="9"/>
        <v>1.7644597410393259</v>
      </c>
      <c r="Y36" s="7">
        <f t="shared" si="10"/>
        <v>0.20425227976498972</v>
      </c>
      <c r="Z36" s="7">
        <f t="shared" si="11"/>
        <v>1.4805526636582744E-2</v>
      </c>
      <c r="AA36" s="8">
        <f t="shared" si="12"/>
        <v>0.19847479962863845</v>
      </c>
      <c r="AC36" s="7">
        <f t="shared" si="13"/>
        <v>39.894228040143268</v>
      </c>
      <c r="AD36" s="7">
        <f t="shared" si="14"/>
        <v>0</v>
      </c>
      <c r="AE36" s="7">
        <f t="shared" si="15"/>
        <v>0</v>
      </c>
      <c r="AF36" s="7">
        <f t="shared" si="16"/>
        <v>0</v>
      </c>
      <c r="AG36" s="8">
        <f t="shared" si="17"/>
        <v>0</v>
      </c>
      <c r="AH36" s="8"/>
      <c r="AI36" s="9">
        <f t="shared" si="18"/>
        <v>0</v>
      </c>
      <c r="AK36" s="7" t="e">
        <f t="shared" si="19"/>
        <v>#DIV/0!</v>
      </c>
      <c r="AL36" s="7" t="e">
        <f t="shared" si="20"/>
        <v>#DIV/0!</v>
      </c>
      <c r="AM36" s="7" t="e">
        <f t="shared" si="21"/>
        <v>#DIV/0!</v>
      </c>
      <c r="AN36" s="7" t="e">
        <f t="shared" si="22"/>
        <v>#DIV/0!</v>
      </c>
      <c r="AP36" s="10">
        <v>33</v>
      </c>
      <c r="AQ36" s="7" t="e">
        <f t="shared" si="23"/>
        <v>#DIV/0!</v>
      </c>
      <c r="AR36" s="7" t="e">
        <f t="shared" si="23"/>
        <v>#DIV/0!</v>
      </c>
      <c r="AS36" s="7" t="e">
        <f t="shared" si="23"/>
        <v>#DIV/0!</v>
      </c>
      <c r="AT36" s="8" t="e">
        <f t="shared" si="23"/>
        <v>#DIV/0!</v>
      </c>
      <c r="AV36" s="7" t="e">
        <f t="shared" si="25"/>
        <v>#DIV/0!</v>
      </c>
      <c r="AW36" s="7" t="e">
        <f t="shared" si="25"/>
        <v>#DIV/0!</v>
      </c>
      <c r="AX36" s="7" t="e">
        <f t="shared" si="25"/>
        <v>#DIV/0!</v>
      </c>
      <c r="AY36" s="7" t="e">
        <f t="shared" si="26"/>
        <v>#DIV/0!</v>
      </c>
    </row>
    <row r="37" spans="1:51" s="7" customFormat="1" x14ac:dyDescent="0.3">
      <c r="A37" s="10">
        <v>34</v>
      </c>
      <c r="C37" s="7">
        <f t="shared" si="2"/>
        <v>1.5077042428787961</v>
      </c>
      <c r="D37" s="7">
        <f t="shared" si="3"/>
        <v>2.1468622435741551</v>
      </c>
      <c r="E37" s="7">
        <f t="shared" si="4"/>
        <v>0.19280369081723617</v>
      </c>
      <c r="F37" s="7">
        <f t="shared" si="5"/>
        <v>1.6786084848246528E-2</v>
      </c>
      <c r="G37" s="7">
        <f t="shared" si="6"/>
        <v>0.23878850096808008</v>
      </c>
      <c r="I37">
        <v>-1.4297961570264306E-2</v>
      </c>
      <c r="J37">
        <v>-1.7718593880999833E-2</v>
      </c>
      <c r="K37">
        <v>2.1042183107056189E-3</v>
      </c>
      <c r="L37">
        <v>-1.055609573086258E-2</v>
      </c>
      <c r="M37">
        <v>5.404524472396588E-3</v>
      </c>
      <c r="O37" s="7">
        <f t="shared" si="7"/>
        <v>2.4934062813085318</v>
      </c>
      <c r="P37" s="7">
        <f t="shared" si="7"/>
        <v>3.1291436496931553</v>
      </c>
      <c r="Q37" s="7">
        <f t="shared" si="7"/>
        <v>1.1949079091279418</v>
      </c>
      <c r="R37" s="7">
        <f t="shared" si="7"/>
        <v>1.006229989117384</v>
      </c>
      <c r="S37" s="7">
        <f t="shared" si="7"/>
        <v>1.2441930254404767</v>
      </c>
      <c r="U37" s="10">
        <v>1</v>
      </c>
      <c r="W37" s="7">
        <f t="shared" si="8"/>
        <v>1.4934062813085318</v>
      </c>
      <c r="X37" s="7">
        <f t="shared" si="9"/>
        <v>2.1291436496931553</v>
      </c>
      <c r="Y37" s="7">
        <f t="shared" si="10"/>
        <v>0.19490790912794176</v>
      </c>
      <c r="Z37" s="7">
        <f t="shared" si="11"/>
        <v>6.2299891173840383E-3</v>
      </c>
      <c r="AA37" s="8">
        <f t="shared" si="12"/>
        <v>0.24419302544047672</v>
      </c>
      <c r="AC37" s="7">
        <f t="shared" si="13"/>
        <v>39.894228040143268</v>
      </c>
      <c r="AD37" s="7">
        <f t="shared" si="14"/>
        <v>0</v>
      </c>
      <c r="AE37" s="7">
        <f t="shared" si="15"/>
        <v>0</v>
      </c>
      <c r="AF37" s="7">
        <f t="shared" si="16"/>
        <v>0</v>
      </c>
      <c r="AG37" s="8">
        <f t="shared" si="17"/>
        <v>0</v>
      </c>
      <c r="AH37" s="8"/>
      <c r="AI37" s="9">
        <f t="shared" si="18"/>
        <v>0</v>
      </c>
      <c r="AK37" s="7" t="e">
        <f t="shared" si="19"/>
        <v>#DIV/0!</v>
      </c>
      <c r="AL37" s="7" t="e">
        <f t="shared" si="20"/>
        <v>#DIV/0!</v>
      </c>
      <c r="AM37" s="7" t="e">
        <f t="shared" si="21"/>
        <v>#DIV/0!</v>
      </c>
      <c r="AN37" s="7" t="e">
        <f t="shared" si="22"/>
        <v>#DIV/0!</v>
      </c>
      <c r="AP37" s="10">
        <v>34</v>
      </c>
      <c r="AQ37" s="7" t="e">
        <f t="shared" si="23"/>
        <v>#DIV/0!</v>
      </c>
      <c r="AR37" s="7" t="e">
        <f t="shared" si="23"/>
        <v>#DIV/0!</v>
      </c>
      <c r="AS37" s="7" t="e">
        <f t="shared" si="23"/>
        <v>#DIV/0!</v>
      </c>
      <c r="AT37" s="8" t="e">
        <f t="shared" si="23"/>
        <v>#DIV/0!</v>
      </c>
      <c r="AV37" s="7" t="e">
        <f t="shared" si="25"/>
        <v>#DIV/0!</v>
      </c>
      <c r="AW37" s="7" t="e">
        <f t="shared" si="25"/>
        <v>#DIV/0!</v>
      </c>
      <c r="AX37" s="7" t="e">
        <f t="shared" si="25"/>
        <v>#DIV/0!</v>
      </c>
      <c r="AY37" s="7" t="e">
        <f t="shared" si="26"/>
        <v>#DIV/0!</v>
      </c>
    </row>
    <row r="38" spans="1:51" s="7" customFormat="1" x14ac:dyDescent="0.3">
      <c r="A38" s="10">
        <v>35</v>
      </c>
      <c r="C38" s="7">
        <f t="shared" si="2"/>
        <v>1.688906674860754</v>
      </c>
      <c r="D38" s="7">
        <f t="shared" si="3"/>
        <v>2.6208993296940726</v>
      </c>
      <c r="E38" s="7">
        <f t="shared" si="4"/>
        <v>0.19311931529641987</v>
      </c>
      <c r="F38" s="7">
        <f t="shared" si="5"/>
        <v>1.6791311112084227E-2</v>
      </c>
      <c r="G38" s="7">
        <f t="shared" si="6"/>
        <v>0.27286468551945192</v>
      </c>
      <c r="I38">
        <v>-8.1716962085920386E-3</v>
      </c>
      <c r="J38">
        <v>1.742137101246044E-2</v>
      </c>
      <c r="K38">
        <v>1.0257667781843338E-2</v>
      </c>
      <c r="L38">
        <v>1.3245880836620927E-2</v>
      </c>
      <c r="M38">
        <v>-5.4879251365491655E-3</v>
      </c>
      <c r="O38" s="7">
        <f t="shared" si="7"/>
        <v>2.6807349786521621</v>
      </c>
      <c r="P38" s="7">
        <f t="shared" si="7"/>
        <v>3.638320700706533</v>
      </c>
      <c r="Q38" s="7">
        <f t="shared" si="7"/>
        <v>1.2033769830782632</v>
      </c>
      <c r="R38" s="7">
        <f t="shared" si="7"/>
        <v>1.0300371919487052</v>
      </c>
      <c r="S38" s="7">
        <f t="shared" si="7"/>
        <v>1.2673767603829027</v>
      </c>
      <c r="U38" s="10">
        <v>1</v>
      </c>
      <c r="W38" s="7">
        <f t="shared" si="8"/>
        <v>1.6807349786521621</v>
      </c>
      <c r="X38" s="7">
        <f t="shared" si="9"/>
        <v>2.638320700706533</v>
      </c>
      <c r="Y38" s="7">
        <f t="shared" si="10"/>
        <v>0.20337698307826324</v>
      </c>
      <c r="Z38" s="7">
        <f t="shared" si="11"/>
        <v>3.0037191948705244E-2</v>
      </c>
      <c r="AA38" s="8">
        <f t="shared" si="12"/>
        <v>0.2673767603829027</v>
      </c>
      <c r="AC38" s="7">
        <f t="shared" si="13"/>
        <v>39.894228040143268</v>
      </c>
      <c r="AD38" s="7">
        <f t="shared" si="14"/>
        <v>0</v>
      </c>
      <c r="AE38" s="7">
        <f t="shared" si="15"/>
        <v>0</v>
      </c>
      <c r="AF38" s="7">
        <f t="shared" si="16"/>
        <v>0</v>
      </c>
      <c r="AG38" s="8">
        <f t="shared" si="17"/>
        <v>0</v>
      </c>
      <c r="AH38" s="8"/>
      <c r="AI38" s="9">
        <f t="shared" si="18"/>
        <v>0</v>
      </c>
      <c r="AK38" s="7" t="e">
        <f t="shared" si="19"/>
        <v>#DIV/0!</v>
      </c>
      <c r="AL38" s="7" t="e">
        <f t="shared" si="20"/>
        <v>#DIV/0!</v>
      </c>
      <c r="AM38" s="7" t="e">
        <f t="shared" si="21"/>
        <v>#DIV/0!</v>
      </c>
      <c r="AN38" s="7" t="e">
        <f t="shared" si="22"/>
        <v>#DIV/0!</v>
      </c>
      <c r="AP38" s="10">
        <v>35</v>
      </c>
      <c r="AQ38" s="7" t="e">
        <f t="shared" si="23"/>
        <v>#DIV/0!</v>
      </c>
      <c r="AR38" s="7" t="e">
        <f t="shared" si="23"/>
        <v>#DIV/0!</v>
      </c>
      <c r="AS38" s="7" t="e">
        <f t="shared" si="23"/>
        <v>#DIV/0!</v>
      </c>
      <c r="AT38" s="8" t="e">
        <f t="shared" si="23"/>
        <v>#DIV/0!</v>
      </c>
      <c r="AV38" s="7" t="e">
        <f t="shared" si="25"/>
        <v>#DIV/0!</v>
      </c>
      <c r="AW38" s="7" t="e">
        <f t="shared" si="25"/>
        <v>#DIV/0!</v>
      </c>
      <c r="AX38" s="7" t="e">
        <f t="shared" si="25"/>
        <v>#DIV/0!</v>
      </c>
      <c r="AY38" s="7" t="e">
        <f t="shared" si="26"/>
        <v>#DIV/0!</v>
      </c>
    </row>
    <row r="39" spans="1:51" s="7" customFormat="1" x14ac:dyDescent="0.3">
      <c r="A39" s="10">
        <v>36</v>
      </c>
      <c r="C39" s="7">
        <f t="shared" si="2"/>
        <v>1.891928769773326</v>
      </c>
      <c r="D39" s="7">
        <f t="shared" si="3"/>
        <v>3.1998895341511497</v>
      </c>
      <c r="E39" s="7">
        <f t="shared" si="4"/>
        <v>0.19343547679355413</v>
      </c>
      <c r="F39" s="7">
        <f t="shared" si="5"/>
        <v>1.6796548362607962E-2</v>
      </c>
      <c r="G39" s="7">
        <f t="shared" si="6"/>
        <v>0.31187393327826007</v>
      </c>
      <c r="I39">
        <v>4.3554450712690596E-3</v>
      </c>
      <c r="J39">
        <v>8.6556156020378694E-3</v>
      </c>
      <c r="K39">
        <v>3.9956830732990056E-3</v>
      </c>
      <c r="L39">
        <v>9.0599087343434803E-3</v>
      </c>
      <c r="M39">
        <v>4.9634991228231229E-3</v>
      </c>
      <c r="O39" s="7">
        <f t="shared" si="7"/>
        <v>2.8962842148445951</v>
      </c>
      <c r="P39" s="7">
        <f t="shared" si="7"/>
        <v>4.2085451497531876</v>
      </c>
      <c r="Q39" s="7">
        <f t="shared" si="7"/>
        <v>1.1974311598668532</v>
      </c>
      <c r="R39" s="7">
        <f t="shared" si="7"/>
        <v>1.0258564570969515</v>
      </c>
      <c r="S39" s="7">
        <f t="shared" si="7"/>
        <v>1.3168374324010832</v>
      </c>
      <c r="U39" s="10">
        <v>1</v>
      </c>
      <c r="W39" s="7">
        <f t="shared" si="8"/>
        <v>1.8962842148445951</v>
      </c>
      <c r="X39" s="7">
        <f t="shared" si="9"/>
        <v>3.2085451497531876</v>
      </c>
      <c r="Y39" s="7">
        <f t="shared" si="10"/>
        <v>0.19743115986685322</v>
      </c>
      <c r="Z39" s="7">
        <f t="shared" si="11"/>
        <v>2.5856457096951502E-2</v>
      </c>
      <c r="AA39" s="8">
        <f t="shared" si="12"/>
        <v>0.3168374324010832</v>
      </c>
      <c r="AC39" s="7">
        <f t="shared" si="13"/>
        <v>39.894228040143268</v>
      </c>
      <c r="AD39" s="7">
        <f t="shared" si="14"/>
        <v>0</v>
      </c>
      <c r="AE39" s="7">
        <f t="shared" si="15"/>
        <v>0</v>
      </c>
      <c r="AF39" s="7">
        <f t="shared" si="16"/>
        <v>0</v>
      </c>
      <c r="AG39" s="8">
        <f t="shared" si="17"/>
        <v>0</v>
      </c>
      <c r="AH39" s="8"/>
      <c r="AI39" s="9">
        <f t="shared" si="18"/>
        <v>0</v>
      </c>
      <c r="AK39" s="7" t="e">
        <f t="shared" si="19"/>
        <v>#DIV/0!</v>
      </c>
      <c r="AL39" s="7" t="e">
        <f t="shared" si="20"/>
        <v>#DIV/0!</v>
      </c>
      <c r="AM39" s="7" t="e">
        <f t="shared" si="21"/>
        <v>#DIV/0!</v>
      </c>
      <c r="AN39" s="7" t="e">
        <f t="shared" si="22"/>
        <v>#DIV/0!</v>
      </c>
      <c r="AP39" s="10">
        <v>36</v>
      </c>
      <c r="AQ39" s="7" t="e">
        <f t="shared" si="23"/>
        <v>#DIV/0!</v>
      </c>
      <c r="AR39" s="7" t="e">
        <f t="shared" si="23"/>
        <v>#DIV/0!</v>
      </c>
      <c r="AS39" s="7" t="e">
        <f t="shared" si="23"/>
        <v>#DIV/0!</v>
      </c>
      <c r="AT39" s="8" t="e">
        <f t="shared" si="23"/>
        <v>#DIV/0!</v>
      </c>
      <c r="AV39" s="7" t="e">
        <f t="shared" si="25"/>
        <v>#DIV/0!</v>
      </c>
      <c r="AW39" s="7" t="e">
        <f t="shared" si="25"/>
        <v>#DIV/0!</v>
      </c>
      <c r="AX39" s="7" t="e">
        <f t="shared" si="25"/>
        <v>#DIV/0!</v>
      </c>
      <c r="AY39" s="7" t="e">
        <f t="shared" si="26"/>
        <v>#DIV/0!</v>
      </c>
    </row>
    <row r="40" spans="1:51" s="7" customFormat="1" x14ac:dyDescent="0.3">
      <c r="A40" s="10">
        <v>37</v>
      </c>
      <c r="C40" s="7">
        <f t="shared" si="2"/>
        <v>2.1193979630499058</v>
      </c>
      <c r="D40" s="7">
        <f t="shared" si="3"/>
        <v>3.9070697668227501</v>
      </c>
      <c r="E40" s="7">
        <f t="shared" si="4"/>
        <v>0.19375217622234589</v>
      </c>
      <c r="F40" s="7">
        <f t="shared" si="5"/>
        <v>1.6801796622914027E-2</v>
      </c>
      <c r="G40" s="7">
        <f t="shared" si="6"/>
        <v>0.35653038266489795</v>
      </c>
      <c r="I40">
        <v>3.4341724131081719E-3</v>
      </c>
      <c r="J40">
        <v>-1.234743649547454E-2</v>
      </c>
      <c r="K40">
        <v>7.408993951685261E-3</v>
      </c>
      <c r="L40">
        <v>-2.2039512259652838E-2</v>
      </c>
      <c r="M40">
        <v>4.2991587179130875E-3</v>
      </c>
      <c r="O40" s="7">
        <f t="shared" si="7"/>
        <v>3.122832135463014</v>
      </c>
      <c r="P40" s="7">
        <f t="shared" si="7"/>
        <v>4.8947223303272756</v>
      </c>
      <c r="Q40" s="7">
        <f t="shared" si="7"/>
        <v>1.2011611701740312</v>
      </c>
      <c r="R40" s="7">
        <f t="shared" si="7"/>
        <v>0.99476228436326108</v>
      </c>
      <c r="S40" s="7">
        <f t="shared" si="7"/>
        <v>1.3608295413828111</v>
      </c>
      <c r="U40" s="10">
        <v>1</v>
      </c>
      <c r="W40" s="7">
        <f t="shared" si="8"/>
        <v>2.122832135463014</v>
      </c>
      <c r="X40" s="7">
        <f t="shared" si="9"/>
        <v>3.8947223303272756</v>
      </c>
      <c r="Y40" s="7">
        <f t="shared" si="10"/>
        <v>0.20116117017403123</v>
      </c>
      <c r="Z40" s="7">
        <f t="shared" si="11"/>
        <v>5.2377156367389155E-3</v>
      </c>
      <c r="AA40" s="8">
        <f t="shared" si="12"/>
        <v>0.36082954138281109</v>
      </c>
      <c r="AC40" s="7">
        <f t="shared" si="13"/>
        <v>39.894228040143268</v>
      </c>
      <c r="AD40" s="7">
        <f t="shared" si="14"/>
        <v>0</v>
      </c>
      <c r="AE40" s="7">
        <f t="shared" si="15"/>
        <v>0</v>
      </c>
      <c r="AF40" s="7">
        <f t="shared" si="16"/>
        <v>0</v>
      </c>
      <c r="AG40" s="8">
        <f t="shared" si="17"/>
        <v>0</v>
      </c>
      <c r="AH40" s="8"/>
      <c r="AI40" s="9">
        <f t="shared" si="18"/>
        <v>0</v>
      </c>
      <c r="AK40" s="7" t="e">
        <f t="shared" si="19"/>
        <v>#DIV/0!</v>
      </c>
      <c r="AL40" s="7" t="e">
        <f t="shared" si="20"/>
        <v>#DIV/0!</v>
      </c>
      <c r="AM40" s="7" t="e">
        <f t="shared" si="21"/>
        <v>#DIV/0!</v>
      </c>
      <c r="AN40" s="7" t="e">
        <f t="shared" si="22"/>
        <v>#DIV/0!</v>
      </c>
      <c r="AP40" s="10">
        <v>37</v>
      </c>
      <c r="AQ40" s="7" t="e">
        <f t="shared" si="23"/>
        <v>#DIV/0!</v>
      </c>
      <c r="AR40" s="7" t="e">
        <f t="shared" si="23"/>
        <v>#DIV/0!</v>
      </c>
      <c r="AS40" s="7" t="e">
        <f t="shared" si="23"/>
        <v>#DIV/0!</v>
      </c>
      <c r="AT40" s="8" t="e">
        <f t="shared" si="23"/>
        <v>#DIV/0!</v>
      </c>
      <c r="AV40" s="7" t="e">
        <f t="shared" si="25"/>
        <v>#DIV/0!</v>
      </c>
      <c r="AW40" s="7" t="e">
        <f t="shared" si="25"/>
        <v>#DIV/0!</v>
      </c>
      <c r="AX40" s="7" t="e">
        <f t="shared" si="25"/>
        <v>#DIV/0!</v>
      </c>
      <c r="AY40" s="7" t="e">
        <f t="shared" si="26"/>
        <v>#DIV/0!</v>
      </c>
    </row>
    <row r="41" spans="1:51" s="7" customFormat="1" x14ac:dyDescent="0.3">
      <c r="A41" s="10">
        <v>38</v>
      </c>
      <c r="C41" s="7">
        <f t="shared" si="2"/>
        <v>2.3742580752568001</v>
      </c>
      <c r="D41" s="7">
        <f t="shared" si="3"/>
        <v>4.7708216535241865</v>
      </c>
      <c r="E41" s="7">
        <f t="shared" si="4"/>
        <v>0.19406941449805667</v>
      </c>
      <c r="F41" s="7">
        <f t="shared" si="5"/>
        <v>1.680705591614725E-2</v>
      </c>
      <c r="G41" s="7">
        <f t="shared" si="6"/>
        <v>0.40765155485851079</v>
      </c>
      <c r="I41">
        <v>-1.0941903383354656E-3</v>
      </c>
      <c r="J41">
        <v>-1.0577491593721788E-2</v>
      </c>
      <c r="K41">
        <v>-5.519973456102889E-3</v>
      </c>
      <c r="L41">
        <v>2.663080067577539E-3</v>
      </c>
      <c r="M41">
        <v>8.2574615589692257E-3</v>
      </c>
      <c r="O41" s="7">
        <f t="shared" si="7"/>
        <v>3.3731638849184646</v>
      </c>
      <c r="P41" s="7">
        <f t="shared" si="7"/>
        <v>5.7602441619304647</v>
      </c>
      <c r="Q41" s="7">
        <f t="shared" si="7"/>
        <v>1.1885494410419537</v>
      </c>
      <c r="R41" s="7">
        <f t="shared" si="7"/>
        <v>1.0194701359837248</v>
      </c>
      <c r="S41" s="7">
        <f t="shared" si="7"/>
        <v>1.4159090164174799</v>
      </c>
      <c r="U41" s="10">
        <v>1</v>
      </c>
      <c r="W41" s="7">
        <f t="shared" si="8"/>
        <v>2.3731638849184646</v>
      </c>
      <c r="X41" s="7">
        <f t="shared" si="9"/>
        <v>4.7602441619304647</v>
      </c>
      <c r="Y41" s="7">
        <f t="shared" si="10"/>
        <v>0.1885494410419537</v>
      </c>
      <c r="Z41" s="7">
        <f t="shared" si="11"/>
        <v>1.9470135983724823E-2</v>
      </c>
      <c r="AA41" s="8">
        <f t="shared" si="12"/>
        <v>0.4159090164174799</v>
      </c>
      <c r="AC41" s="7">
        <f t="shared" si="13"/>
        <v>39.894228040143268</v>
      </c>
      <c r="AD41" s="7">
        <f t="shared" si="14"/>
        <v>0</v>
      </c>
      <c r="AE41" s="7">
        <f t="shared" si="15"/>
        <v>0</v>
      </c>
      <c r="AF41" s="7">
        <f t="shared" si="16"/>
        <v>0</v>
      </c>
      <c r="AG41" s="8">
        <f t="shared" si="17"/>
        <v>0</v>
      </c>
      <c r="AH41" s="8"/>
      <c r="AI41" s="9">
        <f t="shared" si="18"/>
        <v>0</v>
      </c>
      <c r="AK41" s="7" t="e">
        <f t="shared" si="19"/>
        <v>#DIV/0!</v>
      </c>
      <c r="AL41" s="7" t="e">
        <f t="shared" si="20"/>
        <v>#DIV/0!</v>
      </c>
      <c r="AM41" s="7" t="e">
        <f t="shared" si="21"/>
        <v>#DIV/0!</v>
      </c>
      <c r="AN41" s="7" t="e">
        <f t="shared" si="22"/>
        <v>#DIV/0!</v>
      </c>
      <c r="AP41" s="10">
        <v>38</v>
      </c>
      <c r="AQ41" s="7" t="e">
        <f t="shared" si="23"/>
        <v>#DIV/0!</v>
      </c>
      <c r="AR41" s="7" t="e">
        <f t="shared" si="23"/>
        <v>#DIV/0!</v>
      </c>
      <c r="AS41" s="7" t="e">
        <f t="shared" si="23"/>
        <v>#DIV/0!</v>
      </c>
      <c r="AT41" s="8" t="e">
        <f t="shared" si="23"/>
        <v>#DIV/0!</v>
      </c>
      <c r="AV41" s="7" t="e">
        <f t="shared" si="25"/>
        <v>#DIV/0!</v>
      </c>
      <c r="AW41" s="7" t="e">
        <f t="shared" si="25"/>
        <v>#DIV/0!</v>
      </c>
      <c r="AX41" s="7" t="e">
        <f t="shared" si="25"/>
        <v>#DIV/0!</v>
      </c>
      <c r="AY41" s="7" t="e">
        <f t="shared" si="26"/>
        <v>#DIV/0!</v>
      </c>
    </row>
    <row r="42" spans="1:51" s="7" customFormat="1" x14ac:dyDescent="0.3">
      <c r="A42" s="10">
        <v>39</v>
      </c>
      <c r="C42" s="7">
        <f t="shared" si="2"/>
        <v>2.6598074099094897</v>
      </c>
      <c r="D42" s="7">
        <f t="shared" si="3"/>
        <v>5.8258105903073805</v>
      </c>
      <c r="E42" s="7">
        <f t="shared" si="4"/>
        <v>0.19438719253750536</v>
      </c>
      <c r="F42" s="7">
        <f t="shared" si="5"/>
        <v>1.6812326265501127E-2</v>
      </c>
      <c r="G42" s="7">
        <f t="shared" si="6"/>
        <v>0.46617332007594481</v>
      </c>
      <c r="I42">
        <v>-2.1065352484583855E-2</v>
      </c>
      <c r="J42">
        <v>-5.6406406656606123E-3</v>
      </c>
      <c r="K42">
        <v>-8.873530532582663E-3</v>
      </c>
      <c r="L42">
        <v>1.341325059911469E-2</v>
      </c>
      <c r="M42">
        <v>-2.2100721253082156E-2</v>
      </c>
      <c r="O42" s="7">
        <f t="shared" si="7"/>
        <v>3.6387420574249059</v>
      </c>
      <c r="P42" s="7">
        <f t="shared" si="7"/>
        <v>6.8201699496417199</v>
      </c>
      <c r="Q42" s="7">
        <f t="shared" si="7"/>
        <v>1.1855136620049227</v>
      </c>
      <c r="R42" s="7">
        <f t="shared" si="7"/>
        <v>1.0302255768646158</v>
      </c>
      <c r="S42" s="7">
        <f t="shared" si="7"/>
        <v>1.4440725988228627</v>
      </c>
      <c r="U42" s="10">
        <v>1</v>
      </c>
      <c r="W42" s="7">
        <f t="shared" si="8"/>
        <v>2.6387420574249059</v>
      </c>
      <c r="X42" s="7">
        <f t="shared" si="9"/>
        <v>5.8201699496417199</v>
      </c>
      <c r="Y42" s="7">
        <f t="shared" si="10"/>
        <v>0.1855136620049227</v>
      </c>
      <c r="Z42" s="7">
        <f t="shared" si="11"/>
        <v>3.02255768646158E-2</v>
      </c>
      <c r="AA42" s="8">
        <f t="shared" si="12"/>
        <v>0.44407259882286265</v>
      </c>
      <c r="AC42" s="7">
        <f t="shared" si="13"/>
        <v>39.894228040143268</v>
      </c>
      <c r="AD42" s="7">
        <f t="shared" si="14"/>
        <v>0</v>
      </c>
      <c r="AE42" s="7">
        <f t="shared" si="15"/>
        <v>0</v>
      </c>
      <c r="AF42" s="7">
        <f t="shared" si="16"/>
        <v>0</v>
      </c>
      <c r="AG42" s="8">
        <f t="shared" si="17"/>
        <v>0</v>
      </c>
      <c r="AH42" s="8"/>
      <c r="AI42" s="9">
        <f t="shared" si="18"/>
        <v>0</v>
      </c>
      <c r="AK42" s="7" t="e">
        <f t="shared" si="19"/>
        <v>#DIV/0!</v>
      </c>
      <c r="AL42" s="7" t="e">
        <f t="shared" si="20"/>
        <v>#DIV/0!</v>
      </c>
      <c r="AM42" s="7" t="e">
        <f t="shared" si="21"/>
        <v>#DIV/0!</v>
      </c>
      <c r="AN42" s="7" t="e">
        <f t="shared" si="22"/>
        <v>#DIV/0!</v>
      </c>
      <c r="AP42" s="10">
        <v>39</v>
      </c>
      <c r="AQ42" s="7" t="e">
        <f t="shared" si="23"/>
        <v>#DIV/0!</v>
      </c>
      <c r="AR42" s="7" t="e">
        <f t="shared" si="23"/>
        <v>#DIV/0!</v>
      </c>
      <c r="AS42" s="7" t="e">
        <f t="shared" si="23"/>
        <v>#DIV/0!</v>
      </c>
      <c r="AT42" s="8" t="e">
        <f t="shared" si="23"/>
        <v>#DIV/0!</v>
      </c>
      <c r="AV42" s="7" t="e">
        <f t="shared" ref="AV42" si="27">IF(AQ42&lt;0.3,0,AQ42)</f>
        <v>#DIV/0!</v>
      </c>
      <c r="AW42" s="7" t="e">
        <f t="shared" ref="AW42" si="28">IF(AR42&lt;0.3,0,AR42)</f>
        <v>#DIV/0!</v>
      </c>
      <c r="AX42" s="7" t="e">
        <f t="shared" ref="AX42" si="29">IF(AS42&lt;0.3,0,AS42)</f>
        <v>#DIV/0!</v>
      </c>
      <c r="AY42" s="7" t="e">
        <f t="shared" ref="AY42" si="30">IF(AT42&lt;0.3,0,AT42)</f>
        <v>#DIV/0!</v>
      </c>
    </row>
    <row r="43" spans="1:51" x14ac:dyDescent="0.3">
      <c r="AC43" s="3"/>
      <c r="AD43" s="1"/>
      <c r="AE43" s="1"/>
      <c r="AF43" s="1"/>
      <c r="AG43" s="1"/>
      <c r="AH43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Гошко</dc:creator>
  <cp:lastModifiedBy>Silent Rider</cp:lastModifiedBy>
  <dcterms:created xsi:type="dcterms:W3CDTF">2024-09-22T16:00:53Z</dcterms:created>
  <dcterms:modified xsi:type="dcterms:W3CDTF">2026-09-13T09:37:14Z</dcterms:modified>
</cp:coreProperties>
</file>